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apache-tomcat-8.5.32-windows-x64\apache-tomcat-8.5.32\webapps\InfraDash\healthcheckrunningexcel\"/>
    </mc:Choice>
  </mc:AlternateContent>
  <bookViews>
    <workbookView xWindow="0" yWindow="0" windowWidth="16485" windowHeight="1740" activeTab="3"/>
  </bookViews>
  <sheets>
    <sheet name="WholeDay" sheetId="7" r:id="rId1"/>
    <sheet name="LatestMachineStatus" sheetId="16" r:id="rId2"/>
    <sheet name="WholeDayResults" sheetId="8" r:id="rId3"/>
    <sheet name="StackReport" sheetId="15" r:id="rId4"/>
    <sheet name="NBNPlus" sheetId="19" r:id="rId5"/>
    <sheet name="HealthCheckMachines" sheetId="18" r:id="rId6"/>
    <sheet name="FailedMachines" sheetId="17" r:id="rId7"/>
  </sheets>
  <definedNames>
    <definedName name="ExternalData_1" localSheetId="6" hidden="1">FailedMachines!$A$1:$G$27</definedName>
    <definedName name="ExternalData_1" localSheetId="5" hidden="1">HealthCheckMachines!$A$1:$G$2</definedName>
    <definedName name="ExternalData_1" localSheetId="1" hidden="1">LatestMachineStatus!$A$1:$G$407</definedName>
    <definedName name="ExternalData_1" localSheetId="4" hidden="1">NBNPlus!$A$1:$G$12</definedName>
    <definedName name="ExternalData_1" localSheetId="0" hidden="1">WholeDay!$A$1:$J$2856</definedName>
  </definedNames>
  <calcPr calcId="152511"/>
</workbook>
</file>

<file path=xl/calcChain.xml><?xml version="1.0" encoding="utf-8"?>
<calcChain xmlns="http://schemas.openxmlformats.org/spreadsheetml/2006/main">
  <c r="U13" i="8" l="1"/>
  <c r="U4" i="8"/>
  <c r="U3" i="8"/>
  <c r="U2" i="8"/>
  <c r="U25" i="8"/>
  <c r="U24" i="8"/>
  <c r="U23" i="8"/>
  <c r="U22" i="8"/>
  <c r="U21" i="8"/>
  <c r="U20" i="8"/>
  <c r="U19" i="8"/>
  <c r="U18" i="8"/>
  <c r="U17" i="8"/>
  <c r="U16" i="8"/>
  <c r="U15" i="8"/>
  <c r="U14" i="8"/>
  <c r="U12" i="8"/>
  <c r="U11" i="8"/>
  <c r="U10" i="8"/>
  <c r="U9" i="8"/>
  <c r="U8" i="8"/>
  <c r="U7" i="8"/>
  <c r="U6" i="8"/>
  <c r="T14" i="8"/>
  <c r="V14" i="8" s="1"/>
  <c r="T15" i="8"/>
  <c r="V15" i="8" s="1"/>
  <c r="T16" i="8"/>
  <c r="V16" i="8" s="1"/>
  <c r="T17" i="8"/>
  <c r="V17" i="8" s="1"/>
  <c r="T18" i="8"/>
  <c r="V18" i="8" s="1"/>
  <c r="T19" i="8"/>
  <c r="V19" i="8" s="1"/>
  <c r="T20" i="8"/>
  <c r="V20" i="8" s="1"/>
  <c r="T21" i="8"/>
  <c r="V21" i="8" s="1"/>
  <c r="T22" i="8"/>
  <c r="V22" i="8" s="1"/>
  <c r="T23" i="8"/>
  <c r="V23" i="8" s="1"/>
  <c r="T24" i="8"/>
  <c r="V24" i="8" s="1"/>
  <c r="T25" i="8"/>
  <c r="V25" i="8" s="1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U5" i="8"/>
  <c r="S7" i="8"/>
  <c r="S6" i="8"/>
  <c r="S5" i="8"/>
  <c r="S4" i="8"/>
  <c r="S3" i="8"/>
  <c r="S2" i="8"/>
  <c r="W25" i="8" l="1"/>
  <c r="H25" i="8" s="1"/>
  <c r="R25" i="8" s="1"/>
  <c r="W24" i="8"/>
  <c r="H24" i="8" s="1"/>
  <c r="R24" i="8" s="1"/>
  <c r="W23" i="8"/>
  <c r="H23" i="8" s="1"/>
  <c r="R23" i="8" s="1"/>
  <c r="W22" i="8"/>
  <c r="H22" i="8" s="1"/>
  <c r="R22" i="8" s="1"/>
  <c r="W21" i="8"/>
  <c r="H21" i="8" s="1"/>
  <c r="R21" i="8" s="1"/>
  <c r="W20" i="8"/>
  <c r="H20" i="8" s="1"/>
  <c r="R20" i="8" s="1"/>
  <c r="W19" i="8"/>
  <c r="H19" i="8" s="1"/>
  <c r="R19" i="8" s="1"/>
  <c r="W18" i="8"/>
  <c r="H18" i="8" s="1"/>
  <c r="R18" i="8" s="1"/>
  <c r="W17" i="8"/>
  <c r="H17" i="8" s="1"/>
  <c r="R17" i="8" s="1"/>
  <c r="W16" i="8"/>
  <c r="H16" i="8" s="1"/>
  <c r="R16" i="8" s="1"/>
  <c r="W15" i="8"/>
  <c r="H15" i="8" s="1"/>
  <c r="R15" i="8" s="1"/>
  <c r="W14" i="8"/>
  <c r="H14" i="8" s="1"/>
  <c r="R14" i="8" s="1"/>
  <c r="D14" i="8" l="1"/>
  <c r="D15" i="8"/>
  <c r="D16" i="8"/>
  <c r="D17" i="8"/>
  <c r="D18" i="8"/>
  <c r="D19" i="8"/>
  <c r="D20" i="8"/>
  <c r="D21" i="8"/>
  <c r="D22" i="8"/>
  <c r="D23" i="8"/>
  <c r="D24" i="8"/>
  <c r="D25" i="8"/>
  <c r="C14" i="8"/>
  <c r="Q14" i="8" s="1"/>
  <c r="C15" i="8"/>
  <c r="C16" i="8"/>
  <c r="C17" i="8"/>
  <c r="C18" i="8"/>
  <c r="C19" i="8"/>
  <c r="C20" i="8"/>
  <c r="C21" i="8"/>
  <c r="C22" i="8"/>
  <c r="C23" i="8"/>
  <c r="C24" i="8"/>
  <c r="C25" i="8"/>
  <c r="B14" i="8"/>
  <c r="B15" i="8"/>
  <c r="B16" i="8"/>
  <c r="B17" i="8"/>
  <c r="B18" i="8"/>
  <c r="B19" i="8"/>
  <c r="B20" i="8"/>
  <c r="B21" i="8"/>
  <c r="B22" i="8"/>
  <c r="B23" i="8"/>
  <c r="B24" i="8"/>
  <c r="B25" i="8"/>
  <c r="A14" i="8"/>
  <c r="A15" i="8"/>
  <c r="A16" i="8"/>
  <c r="A17" i="8"/>
  <c r="A18" i="8"/>
  <c r="A19" i="8"/>
  <c r="A20" i="8"/>
  <c r="A21" i="8"/>
  <c r="A22" i="8"/>
  <c r="A23" i="8"/>
  <c r="A24" i="8"/>
  <c r="A25" i="8"/>
  <c r="G14" i="8"/>
  <c r="G15" i="8"/>
  <c r="G16" i="8"/>
  <c r="G17" i="8"/>
  <c r="G18" i="8"/>
  <c r="G19" i="8"/>
  <c r="G20" i="8"/>
  <c r="G21" i="8"/>
  <c r="G22" i="8"/>
  <c r="G23" i="8"/>
  <c r="G24" i="8"/>
  <c r="G25" i="8"/>
  <c r="F14" i="8"/>
  <c r="F15" i="8"/>
  <c r="F16" i="8"/>
  <c r="F17" i="8"/>
  <c r="F18" i="8"/>
  <c r="F19" i="8"/>
  <c r="F20" i="8"/>
  <c r="F21" i="8"/>
  <c r="F22" i="8"/>
  <c r="F23" i="8"/>
  <c r="F24" i="8"/>
  <c r="F25" i="8"/>
  <c r="E14" i="8"/>
  <c r="E15" i="8"/>
  <c r="E16" i="8"/>
  <c r="E17" i="8"/>
  <c r="E18" i="8"/>
  <c r="E19" i="8"/>
  <c r="E20" i="8"/>
  <c r="E21" i="8"/>
  <c r="E22" i="8"/>
  <c r="E23" i="8"/>
  <c r="E24" i="8"/>
  <c r="E25" i="8"/>
  <c r="J14" i="8"/>
  <c r="K14" i="8" s="1"/>
  <c r="J15" i="8"/>
  <c r="K15" i="8" s="1"/>
  <c r="J16" i="8"/>
  <c r="K16" i="8" s="1"/>
  <c r="J17" i="8"/>
  <c r="K17" i="8" s="1"/>
  <c r="J18" i="8"/>
  <c r="K18" i="8" s="1"/>
  <c r="J19" i="8"/>
  <c r="K19" i="8" s="1"/>
  <c r="J20" i="8"/>
  <c r="K20" i="8" s="1"/>
  <c r="J21" i="8"/>
  <c r="K21" i="8" s="1"/>
  <c r="J22" i="8"/>
  <c r="K22" i="8" s="1"/>
  <c r="J23" i="8"/>
  <c r="K23" i="8" s="1"/>
  <c r="J24" i="8"/>
  <c r="K24" i="8" s="1"/>
  <c r="J25" i="8"/>
  <c r="K25" i="8" s="1"/>
  <c r="M14" i="8"/>
  <c r="L14" i="8"/>
  <c r="Q15" i="8"/>
  <c r="M15" i="8"/>
  <c r="L15" i="8"/>
  <c r="Q16" i="8"/>
  <c r="M16" i="8"/>
  <c r="L16" i="8"/>
  <c r="Q17" i="8"/>
  <c r="M17" i="8"/>
  <c r="L17" i="8"/>
  <c r="Q18" i="8"/>
  <c r="M18" i="8"/>
  <c r="L18" i="8"/>
  <c r="Q19" i="8"/>
  <c r="M19" i="8"/>
  <c r="L19" i="8"/>
  <c r="Q20" i="8"/>
  <c r="M20" i="8"/>
  <c r="L20" i="8"/>
  <c r="Q21" i="8"/>
  <c r="M21" i="8"/>
  <c r="L21" i="8"/>
  <c r="Q22" i="8"/>
  <c r="M22" i="8"/>
  <c r="L22" i="8"/>
  <c r="Q23" i="8"/>
  <c r="M23" i="8"/>
  <c r="L23" i="8"/>
  <c r="Q24" i="8"/>
  <c r="M24" i="8"/>
  <c r="L24" i="8"/>
  <c r="Q25" i="8"/>
  <c r="M25" i="8"/>
  <c r="L25" i="8"/>
  <c r="T3" i="8"/>
  <c r="T4" i="8"/>
  <c r="T5" i="8"/>
  <c r="V5" i="8" s="1"/>
  <c r="T6" i="8"/>
  <c r="V6" i="8" s="1"/>
  <c r="T7" i="8"/>
  <c r="V7" i="8" s="1"/>
  <c r="T8" i="8"/>
  <c r="V8" i="8" s="1"/>
  <c r="T9" i="8"/>
  <c r="V9" i="8" s="1"/>
  <c r="T10" i="8"/>
  <c r="V10" i="8" s="1"/>
  <c r="T11" i="8"/>
  <c r="V11" i="8" s="1"/>
  <c r="T12" i="8"/>
  <c r="V12" i="8" s="1"/>
  <c r="T13" i="8"/>
  <c r="W13" i="8" s="1"/>
  <c r="T2" i="8"/>
  <c r="W2" i="8" s="1"/>
  <c r="N25" i="8" l="1"/>
  <c r="P25" i="8" s="1"/>
  <c r="N24" i="8"/>
  <c r="P24" i="8" s="1"/>
  <c r="N23" i="8"/>
  <c r="P23" i="8" s="1"/>
  <c r="N22" i="8"/>
  <c r="P22" i="8" s="1"/>
  <c r="N21" i="8"/>
  <c r="P21" i="8" s="1"/>
  <c r="N20" i="8"/>
  <c r="P20" i="8" s="1"/>
  <c r="N19" i="8"/>
  <c r="P19" i="8" s="1"/>
  <c r="N18" i="8"/>
  <c r="P18" i="8" s="1"/>
  <c r="N17" i="8"/>
  <c r="P17" i="8" s="1"/>
  <c r="N16" i="8"/>
  <c r="P16" i="8" s="1"/>
  <c r="N15" i="8"/>
  <c r="P15" i="8" s="1"/>
  <c r="N14" i="8"/>
  <c r="P14" i="8" s="1"/>
  <c r="V13" i="8"/>
  <c r="D13" i="8" s="1"/>
  <c r="W10" i="8"/>
  <c r="F10" i="8" s="1"/>
  <c r="W6" i="8"/>
  <c r="J6" i="8" s="1"/>
  <c r="V4" i="8"/>
  <c r="V3" i="8"/>
  <c r="W9" i="8"/>
  <c r="G9" i="8" s="1"/>
  <c r="W5" i="8"/>
  <c r="E5" i="8" s="1"/>
  <c r="W12" i="8"/>
  <c r="A12" i="8" s="1"/>
  <c r="W8" i="8"/>
  <c r="A8" i="8" s="1"/>
  <c r="W4" i="8"/>
  <c r="W11" i="8"/>
  <c r="A11" i="8" s="1"/>
  <c r="W7" i="8"/>
  <c r="A7" i="8" s="1"/>
  <c r="W3" i="8"/>
  <c r="V2" i="8"/>
  <c r="H2" i="8" s="1"/>
  <c r="R2" i="8" s="1"/>
  <c r="D12" i="8" l="1"/>
  <c r="B13" i="8"/>
  <c r="C13" i="8"/>
  <c r="C12" i="8"/>
  <c r="B12" i="8"/>
  <c r="G13" i="8"/>
  <c r="A13" i="8"/>
  <c r="J3" i="8"/>
  <c r="J4" i="8"/>
  <c r="H13" i="8"/>
  <c r="J13" i="8"/>
  <c r="J5" i="8"/>
  <c r="J7" i="8"/>
  <c r="J8" i="8"/>
  <c r="J9" i="8"/>
  <c r="J10" i="8"/>
  <c r="J11" i="8"/>
  <c r="J12" i="8"/>
  <c r="H3" i="8"/>
  <c r="H4" i="8"/>
  <c r="H5" i="8"/>
  <c r="H6" i="8"/>
  <c r="H7" i="8"/>
  <c r="H8" i="8"/>
  <c r="H9" i="8"/>
  <c r="H10" i="8"/>
  <c r="H11" i="8"/>
  <c r="H12" i="8"/>
  <c r="F7" i="8"/>
  <c r="R3" i="8"/>
  <c r="R4" i="8"/>
  <c r="R13" i="8"/>
  <c r="R5" i="8"/>
  <c r="R6" i="8"/>
  <c r="R7" i="8"/>
  <c r="R8" i="8"/>
  <c r="R9" i="8"/>
  <c r="R10" i="8"/>
  <c r="R11" i="8"/>
  <c r="R12" i="8"/>
  <c r="J2" i="8"/>
  <c r="A2" i="8"/>
  <c r="G11" i="8"/>
  <c r="G12" i="8"/>
  <c r="G10" i="8"/>
  <c r="K10" i="8" s="1"/>
  <c r="G8" i="8"/>
  <c r="G7" i="8"/>
  <c r="B6" i="8"/>
  <c r="G6" i="8"/>
  <c r="G4" i="8"/>
  <c r="G5" i="8"/>
  <c r="G3" i="8"/>
  <c r="E13" i="8"/>
  <c r="F13" i="8"/>
  <c r="K13" i="8" s="1"/>
  <c r="F12" i="8"/>
  <c r="K12" i="8" s="1"/>
  <c r="F11" i="8"/>
  <c r="K11" i="8" s="1"/>
  <c r="F8" i="8"/>
  <c r="K8" i="8" s="1"/>
  <c r="E9" i="8"/>
  <c r="F9" i="8"/>
  <c r="K9" i="8" s="1"/>
  <c r="F6" i="8"/>
  <c r="K6" i="8" s="1"/>
  <c r="F4" i="8"/>
  <c r="K4" i="8" s="1"/>
  <c r="F5" i="8"/>
  <c r="K5" i="8" s="1"/>
  <c r="F3" i="8"/>
  <c r="K3" i="8" s="1"/>
  <c r="E12" i="8"/>
  <c r="E11" i="8"/>
  <c r="B10" i="8"/>
  <c r="E10" i="8"/>
  <c r="E8" i="8"/>
  <c r="E7" i="8"/>
  <c r="E6" i="8"/>
  <c r="E4" i="8"/>
  <c r="E3" i="8"/>
  <c r="Q13" i="8"/>
  <c r="D11" i="8"/>
  <c r="D10" i="8"/>
  <c r="D9" i="8"/>
  <c r="D8" i="8"/>
  <c r="D7" i="8"/>
  <c r="D4" i="8"/>
  <c r="D6" i="8"/>
  <c r="D5" i="8"/>
  <c r="D3" i="8"/>
  <c r="C11" i="8"/>
  <c r="Q11" i="8" s="1"/>
  <c r="Q12" i="8"/>
  <c r="C10" i="8"/>
  <c r="Q10" i="8" s="1"/>
  <c r="C9" i="8"/>
  <c r="Q9" i="8" s="1"/>
  <c r="C8" i="8"/>
  <c r="Q8" i="8" s="1"/>
  <c r="C7" i="8"/>
  <c r="Q7" i="8" s="1"/>
  <c r="C5" i="8"/>
  <c r="Q5" i="8" s="1"/>
  <c r="C6" i="8"/>
  <c r="Q6" i="8" s="1"/>
  <c r="C4" i="8"/>
  <c r="Q4" i="8" s="1"/>
  <c r="C3" i="8"/>
  <c r="Q3" i="8" s="1"/>
  <c r="B11" i="8"/>
  <c r="B9" i="8"/>
  <c r="B8" i="8"/>
  <c r="B7" i="8"/>
  <c r="B5" i="8"/>
  <c r="B4" i="8"/>
  <c r="B3" i="8"/>
  <c r="K7" i="8"/>
  <c r="A5" i="8"/>
  <c r="A9" i="8"/>
  <c r="A10" i="8"/>
  <c r="A6" i="8"/>
  <c r="A4" i="8"/>
  <c r="A3" i="8"/>
  <c r="C2" i="8"/>
  <c r="Q2" i="8" s="1"/>
  <c r="B2" i="8"/>
  <c r="F2" i="8"/>
  <c r="D2" i="8"/>
  <c r="G2" i="8"/>
  <c r="E2" i="8"/>
  <c r="M3" i="8" l="1"/>
  <c r="M4" i="8"/>
  <c r="M5" i="8"/>
  <c r="M7" i="8"/>
  <c r="M8" i="8"/>
  <c r="M9" i="8"/>
  <c r="M11" i="8"/>
  <c r="M12" i="8"/>
  <c r="M13" i="8"/>
  <c r="M10" i="8"/>
  <c r="M6" i="8"/>
  <c r="M2" i="8"/>
  <c r="K2" i="8"/>
  <c r="L9" i="8"/>
  <c r="N9" i="8" s="1"/>
  <c r="L5" i="8"/>
  <c r="N5" i="8" s="1"/>
  <c r="L12" i="8"/>
  <c r="N12" i="8" s="1"/>
  <c r="L8" i="8"/>
  <c r="N8" i="8" s="1"/>
  <c r="L7" i="8"/>
  <c r="N7" i="8" s="1"/>
  <c r="L11" i="8"/>
  <c r="N11" i="8" s="1"/>
  <c r="L10" i="8"/>
  <c r="N10" i="8" s="1"/>
  <c r="L3" i="8"/>
  <c r="N3" i="8" s="1"/>
  <c r="L4" i="8"/>
  <c r="N4" i="8" s="1"/>
  <c r="L6" i="8"/>
  <c r="N6" i="8" s="1"/>
  <c r="L13" i="8"/>
  <c r="N13" i="8" s="1"/>
  <c r="L2" i="8"/>
  <c r="N2" i="8" l="1"/>
  <c r="P9" i="8"/>
  <c r="P2" i="8"/>
  <c r="P3" i="8"/>
  <c r="P6" i="8"/>
  <c r="P5" i="8"/>
  <c r="P10" i="8"/>
  <c r="P13" i="8"/>
  <c r="P7" i="8"/>
  <c r="P12" i="8"/>
  <c r="P8" i="8"/>
  <c r="P11" i="8"/>
  <c r="P4" i="8"/>
</calcChain>
</file>

<file path=xl/connections.xml><?xml version="1.0" encoding="utf-8"?>
<connections xmlns="http://schemas.openxmlformats.org/spreadsheetml/2006/main">
  <connection id="1" interval="7" name="(Default) HEALTHCHECKNEWPOCFailed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(LOGINSTATUS='Dead' or LOGINSTATUS='NO MATCH VM FOUND' or LOGINSTATUS='Connection Timeout') order by rundate Desc"/>
  </connection>
  <connection id="2" interval="30" name="(Default) HEALTHCHECKNEWPOCHealthCheck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Application='Health Check' order by rundate Desc"/>
  </connection>
  <connection id="3" interval="30" name="(Default) HEALTHCHECKNEWPOCNBNPlus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Application='NBN+' order by rundate Desc"/>
  </connection>
  <connection id="4" interval="1" name="(Default) HEALTHCHECKNEWPOCWholeDay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* FROM &quot;TOSCA_08&quot;.&quot;HEALTHCHECKNEWPOC&quot; where  TO_CHAR(SYSDATE, 'MM-DD-YYYY')= TO_CHAR(Rundate,'MM-DD-YYYY') order by rundate ASC"/>
  </connection>
  <connection id="5" interval="10" name="(Default) HEALTHCHECKNEWPOCWholeDayLatest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 order by rundate Desc"/>
  </connection>
</connections>
</file>

<file path=xl/sharedStrings.xml><?xml version="1.0" encoding="utf-8"?>
<sst xmlns="http://schemas.openxmlformats.org/spreadsheetml/2006/main" count="28430" uniqueCount="615">
  <si>
    <t>MACHINENAME</t>
  </si>
  <si>
    <t>STATE</t>
  </si>
  <si>
    <t>STATUS</t>
  </si>
  <si>
    <t>RUNDATE</t>
  </si>
  <si>
    <t>LOGINSTATUS</t>
  </si>
  <si>
    <t>tcoecloud254</t>
  </si>
  <si>
    <t>Powered On</t>
  </si>
  <si>
    <t>Normal</t>
  </si>
  <si>
    <t>Logged in as N105102</t>
  </si>
  <si>
    <t>tcoecloud253</t>
  </si>
  <si>
    <t>Active</t>
  </si>
  <si>
    <t>tcoecloud252</t>
  </si>
  <si>
    <t>tcoecloud251</t>
  </si>
  <si>
    <t>Other</t>
  </si>
  <si>
    <t>tcoecloud249</t>
  </si>
  <si>
    <t>tcoecloud01</t>
  </si>
  <si>
    <t>tcoecloud29</t>
  </si>
  <si>
    <t>tcoecloud248</t>
  </si>
  <si>
    <t>tcoecloud246</t>
  </si>
  <si>
    <t>tcoecloud245</t>
  </si>
  <si>
    <t>tcoecloud244</t>
  </si>
  <si>
    <t>tcoecloud243</t>
  </si>
  <si>
    <t>tcoecloud242</t>
  </si>
  <si>
    <t>tcoecloud241</t>
  </si>
  <si>
    <t>tcoecloud239</t>
  </si>
  <si>
    <t>tcoecloud238</t>
  </si>
  <si>
    <t>tcoecloud270</t>
  </si>
  <si>
    <t>Connection Timeout</t>
  </si>
  <si>
    <t>tcoecloud237</t>
  </si>
  <si>
    <t>tcoecloud236</t>
  </si>
  <si>
    <t>tcoecloud235</t>
  </si>
  <si>
    <t>tcoecloud234</t>
  </si>
  <si>
    <t>tcoecloud232</t>
  </si>
  <si>
    <t>tcoecloud231</t>
  </si>
  <si>
    <t>tcoecloud230</t>
  </si>
  <si>
    <t>tcoecloud229</t>
  </si>
  <si>
    <t>tcoecloud227</t>
  </si>
  <si>
    <t>tcoecloud225</t>
  </si>
  <si>
    <t>tcoecloud224</t>
  </si>
  <si>
    <t>tcoecloud222</t>
  </si>
  <si>
    <t>tcoecloud219</t>
  </si>
  <si>
    <t>tcoecloud263</t>
  </si>
  <si>
    <t>tcoecloud214</t>
  </si>
  <si>
    <t>tcoecloud213</t>
  </si>
  <si>
    <t>tcoecloud210</t>
  </si>
  <si>
    <t>tcoecloud204</t>
  </si>
  <si>
    <t>tcoecloud274</t>
  </si>
  <si>
    <t>tcoecloud203</t>
  </si>
  <si>
    <t>tcoecloud201</t>
  </si>
  <si>
    <t>tcoecloud092</t>
  </si>
  <si>
    <t>tcoecloud091</t>
  </si>
  <si>
    <t>tcoecloud088</t>
  </si>
  <si>
    <t>tcoecloud087</t>
  </si>
  <si>
    <t>tcoecloud084</t>
  </si>
  <si>
    <t>tcoecloud081</t>
  </si>
  <si>
    <t>tcoecloud075</t>
  </si>
  <si>
    <t>tcoecloud073</t>
  </si>
  <si>
    <t>tcoecloud071</t>
  </si>
  <si>
    <t>tcoecloud080</t>
  </si>
  <si>
    <t>tcoecloud070</t>
  </si>
  <si>
    <t>tcoecloud069</t>
  </si>
  <si>
    <t>tcoecloud083</t>
  </si>
  <si>
    <t>tcoecloud065</t>
  </si>
  <si>
    <t>tcoecloud064</t>
  </si>
  <si>
    <t>tcoecloud062</t>
  </si>
  <si>
    <t>tcoecloud061</t>
  </si>
  <si>
    <t>tcoecloud068</t>
  </si>
  <si>
    <t>tcoecloud060</t>
  </si>
  <si>
    <t>tcoecloud078</t>
  </si>
  <si>
    <t>tcoecloud058</t>
  </si>
  <si>
    <t>tcoecloud086</t>
  </si>
  <si>
    <t>tcoecloud093</t>
  </si>
  <si>
    <t>tcoecloud280</t>
  </si>
  <si>
    <t>Logged in as D31845F</t>
  </si>
  <si>
    <t>tcoecloud268</t>
  </si>
  <si>
    <t>tcoecloud265</t>
  </si>
  <si>
    <t>tcoecloud264</t>
  </si>
  <si>
    <t>tcoecloud269</t>
  </si>
  <si>
    <t>tcoecloud074</t>
  </si>
  <si>
    <t>tcoecloud046</t>
  </si>
  <si>
    <t>tcoecloud283</t>
  </si>
  <si>
    <t>tcoecloud049</t>
  </si>
  <si>
    <t>tcoecloud048</t>
  </si>
  <si>
    <t>tcoecloud260</t>
  </si>
  <si>
    <t>tcoecloud259</t>
  </si>
  <si>
    <t>tcoecloud258</t>
  </si>
  <si>
    <t>tcoecloud256</t>
  </si>
  <si>
    <t>tcoecloud12</t>
  </si>
  <si>
    <t>tcoecloud278</t>
  </si>
  <si>
    <t>tcoecloud056</t>
  </si>
  <si>
    <t>tcoecloud089</t>
  </si>
  <si>
    <t>tcoecloud055</t>
  </si>
  <si>
    <t>tcoecloud057</t>
  </si>
  <si>
    <t>tcoecloud077</t>
  </si>
  <si>
    <t>tcoecloud054</t>
  </si>
  <si>
    <t>tcoecloud079</t>
  </si>
  <si>
    <t>tcoecloud279</t>
  </si>
  <si>
    <t>tcoecloud276</t>
  </si>
  <si>
    <t>tcoecloud036</t>
  </si>
  <si>
    <t>tcoecloud051</t>
  </si>
  <si>
    <t>tcoecloud066</t>
  </si>
  <si>
    <t>tcoecloud043</t>
  </si>
  <si>
    <t>tcoecloud082</t>
  </si>
  <si>
    <t>tcoecloud047</t>
  </si>
  <si>
    <t>tcoecloud035</t>
  </si>
  <si>
    <t>tcoecloud039</t>
  </si>
  <si>
    <t>tcoecloud090</t>
  </si>
  <si>
    <t>tcoecloud076</t>
  </si>
  <si>
    <t>tcoecloud042</t>
  </si>
  <si>
    <t>tcoecloud034</t>
  </si>
  <si>
    <t>tcoecloud33</t>
  </si>
  <si>
    <t>tcoecloud32</t>
  </si>
  <si>
    <t>tcoecloud31</t>
  </si>
  <si>
    <t>tcoecloud30</t>
  </si>
  <si>
    <t>tcoecloud27</t>
  </si>
  <si>
    <t>tcoecloud272</t>
  </si>
  <si>
    <t>tcoecloud257</t>
  </si>
  <si>
    <t>tcoecloud040</t>
  </si>
  <si>
    <t>tcoecloud045</t>
  </si>
  <si>
    <t>tcoecloud038</t>
  </si>
  <si>
    <t>tcoecloud053</t>
  </si>
  <si>
    <t>tcoecloud067</t>
  </si>
  <si>
    <t>tcoecloud281</t>
  </si>
  <si>
    <t>tcoecloud262</t>
  </si>
  <si>
    <t>tcoecloud212</t>
  </si>
  <si>
    <t>tcoecloud168</t>
  </si>
  <si>
    <t>tcoecloud167</t>
  </si>
  <si>
    <t>tcoecloud180</t>
  </si>
  <si>
    <t>tcoecloud166</t>
  </si>
  <si>
    <t>tcoecloud163</t>
  </si>
  <si>
    <t>tcoecloud160</t>
  </si>
  <si>
    <t>tcoecloud159</t>
  </si>
  <si>
    <t>tcoecloud158</t>
  </si>
  <si>
    <t>tcoecloud211</t>
  </si>
  <si>
    <t>tcoecloud152</t>
  </si>
  <si>
    <t>tcoecloud148</t>
  </si>
  <si>
    <t>tcoecloud164</t>
  </si>
  <si>
    <t>tcoecloud198</t>
  </si>
  <si>
    <t>tcoecloud145</t>
  </si>
  <si>
    <t>tcoecloud189</t>
  </si>
  <si>
    <t>tcoecloud144</t>
  </si>
  <si>
    <t>tcoecloud179</t>
  </si>
  <si>
    <t>tcoecloud143</t>
  </si>
  <si>
    <t>tcoecloud199</t>
  </si>
  <si>
    <t>tcoecloud223</t>
  </si>
  <si>
    <t>tcoecloud142</t>
  </si>
  <si>
    <t>tcoecloud205</t>
  </si>
  <si>
    <t>tcoecloud156</t>
  </si>
  <si>
    <t>tcoecloud153</t>
  </si>
  <si>
    <t>tcoecloud220</t>
  </si>
  <si>
    <t>tcoecloud037</t>
  </si>
  <si>
    <t>tcoecloud041</t>
  </si>
  <si>
    <t>tcoecloud059</t>
  </si>
  <si>
    <t>tcoecloud050</t>
  </si>
  <si>
    <t>tcoecloud072</t>
  </si>
  <si>
    <t>tcoecloud052</t>
  </si>
  <si>
    <t>tcoecloud085</t>
  </si>
  <si>
    <t>tcoecloud06</t>
  </si>
  <si>
    <t>tcoecloud28</t>
  </si>
  <si>
    <t>tcoecloud02</t>
  </si>
  <si>
    <t>tcoecloud05</t>
  </si>
  <si>
    <t>tcoecloud10</t>
  </si>
  <si>
    <t>tcoecloud25</t>
  </si>
  <si>
    <t>tcoecloud23</t>
  </si>
  <si>
    <t>tcoecloud21</t>
  </si>
  <si>
    <t>tcoecloud19</t>
  </si>
  <si>
    <t>tcoecloud03</t>
  </si>
  <si>
    <t>tcoecloud18</t>
  </si>
  <si>
    <t>tcoecloud22</t>
  </si>
  <si>
    <t>tcoecloud266</t>
  </si>
  <si>
    <t>tcoecloud208</t>
  </si>
  <si>
    <t>tcoecloud196</t>
  </si>
  <si>
    <t>tcoecloud195</t>
  </si>
  <si>
    <t>tcoecloud194</t>
  </si>
  <si>
    <t>tcoecloud191</t>
  </si>
  <si>
    <t>tcoecloud187</t>
  </si>
  <si>
    <t>tcoecloud221</t>
  </si>
  <si>
    <t>tcoecloud184</t>
  </si>
  <si>
    <t>tcoecloud218</t>
  </si>
  <si>
    <t>tcoecloud183</t>
  </si>
  <si>
    <t>tcoecloud04</t>
  </si>
  <si>
    <t>tcoecloud282</t>
  </si>
  <si>
    <t>tcoecloud247</t>
  </si>
  <si>
    <t>tcoecloud140</t>
  </si>
  <si>
    <t>tcoecloud161</t>
  </si>
  <si>
    <t>tcoecloud186</t>
  </si>
  <si>
    <t>tcoecloud273</t>
  </si>
  <si>
    <t>tcoecloud137</t>
  </si>
  <si>
    <t>tcoecloud133</t>
  </si>
  <si>
    <t>tcoecloud177</t>
  </si>
  <si>
    <t>tcoecloud132</t>
  </si>
  <si>
    <t>tcoecloud202</t>
  </si>
  <si>
    <t>tcoecloud139</t>
  </si>
  <si>
    <t>tcoecloud131</t>
  </si>
  <si>
    <t>tcoecloud129</t>
  </si>
  <si>
    <t>tcoecloud228</t>
  </si>
  <si>
    <t>tcoecloud135</t>
  </si>
  <si>
    <t>tcoecloud127</t>
  </si>
  <si>
    <t>tcoecloud126</t>
  </si>
  <si>
    <t>tcoecloud267</t>
  </si>
  <si>
    <t>tcoecloud151</t>
  </si>
  <si>
    <t>tcoecloud125</t>
  </si>
  <si>
    <t>Failed</t>
  </si>
  <si>
    <t>tcoecloud063</t>
  </si>
  <si>
    <t>tcoecloud044</t>
  </si>
  <si>
    <t>tcoecloud277</t>
  </si>
  <si>
    <t>tcoecloud200</t>
  </si>
  <si>
    <t>tcoecloud197</t>
  </si>
  <si>
    <t>tcoecloud275</t>
  </si>
  <si>
    <t>tcoecloud182</t>
  </si>
  <si>
    <t>tcoecloud181</t>
  </si>
  <si>
    <t>tcoecloud178</t>
  </si>
  <si>
    <t>tcoecloud175</t>
  </si>
  <si>
    <t>tcoecloud174</t>
  </si>
  <si>
    <t>tcoecloud173</t>
  </si>
  <si>
    <t>tcoecloud171</t>
  </si>
  <si>
    <t>tcoecloud226</t>
  </si>
  <si>
    <t>tcoecloud169</t>
  </si>
  <si>
    <t>tcoecloud24</t>
  </si>
  <si>
    <t>Alert</t>
  </si>
  <si>
    <t>tcoecloud13</t>
  </si>
  <si>
    <t>tcoecloud26</t>
  </si>
  <si>
    <t>tcoecloud07</t>
  </si>
  <si>
    <t>tcoecloud17</t>
  </si>
  <si>
    <t>tcoecloud14</t>
  </si>
  <si>
    <t>tcoecloud15</t>
  </si>
  <si>
    <t>tcoecloud09</t>
  </si>
  <si>
    <t>tcoecloud20</t>
  </si>
  <si>
    <t>tcoecloud11</t>
  </si>
  <si>
    <t>tcoecloud16</t>
  </si>
  <si>
    <t>tcoecloud08</t>
  </si>
  <si>
    <t>tcoecloud124</t>
  </si>
  <si>
    <t>tcoecloud122</t>
  </si>
  <si>
    <t>tcoecloud250</t>
  </si>
  <si>
    <t>tcoecloud215</t>
  </si>
  <si>
    <t>tcoecloud146</t>
  </si>
  <si>
    <t>tcoecloud193</t>
  </si>
  <si>
    <t>tcoecloud121</t>
  </si>
  <si>
    <t>tcoecloud240</t>
  </si>
  <si>
    <t>tcoecloud117</t>
  </si>
  <si>
    <t>tcoecloud116</t>
  </si>
  <si>
    <t>tcoecloud154</t>
  </si>
  <si>
    <t>tcoecloud114</t>
  </si>
  <si>
    <t>tcoecloud162</t>
  </si>
  <si>
    <t>tcoecloud107</t>
  </si>
  <si>
    <t>tcoecloud096</t>
  </si>
  <si>
    <t>tcoecloud097</t>
  </si>
  <si>
    <t>tcoecloud098</t>
  </si>
  <si>
    <t>tcoecloud099</t>
  </si>
  <si>
    <t>tcoecloud100</t>
  </si>
  <si>
    <t>tcoecloud101</t>
  </si>
  <si>
    <t>tcoecloud102</t>
  </si>
  <si>
    <t>tcoecloud103</t>
  </si>
  <si>
    <t>tcoecloud104</t>
  </si>
  <si>
    <t>tcoecloud105</t>
  </si>
  <si>
    <t>tcoecloud106</t>
  </si>
  <si>
    <t>tcoecloud108</t>
  </si>
  <si>
    <t>tcoecloud109</t>
  </si>
  <si>
    <t>tcoecloud128</t>
  </si>
  <si>
    <t>tcoecloud130</t>
  </si>
  <si>
    <t>tcoecloud134</t>
  </si>
  <si>
    <t>tcoecloud136</t>
  </si>
  <si>
    <t>tcoecloud261</t>
  </si>
  <si>
    <t>tcoecloud110</t>
  </si>
  <si>
    <t>tcoecloud111</t>
  </si>
  <si>
    <t>tcoecloud112</t>
  </si>
  <si>
    <t>tcoecloud113</t>
  </si>
  <si>
    <t>tcoecloud115</t>
  </si>
  <si>
    <t>tcoecloud118</t>
  </si>
  <si>
    <t>tcoecloud119</t>
  </si>
  <si>
    <t>tcoecloud120</t>
  </si>
  <si>
    <t>tcoecloud123</t>
  </si>
  <si>
    <t>tcoecloud094</t>
  </si>
  <si>
    <t>tcoecloud138</t>
  </si>
  <si>
    <t>tcoecloud141</t>
  </si>
  <si>
    <t>tcoecloud147</t>
  </si>
  <si>
    <t>tcoecloud149</t>
  </si>
  <si>
    <t>tcoecloud150</t>
  </si>
  <si>
    <t>tcoecloud155</t>
  </si>
  <si>
    <t>tcoecloud157</t>
  </si>
  <si>
    <t>tcoecloud165</t>
  </si>
  <si>
    <t>tcoecloud271</t>
  </si>
  <si>
    <t>tcoecloud095</t>
  </si>
  <si>
    <t>tcoecloud255</t>
  </si>
  <si>
    <t>tcoecloud170</t>
  </si>
  <si>
    <t>tcoecloud172</t>
  </si>
  <si>
    <t>tcoecloud176</t>
  </si>
  <si>
    <t>tcoecloud185</t>
  </si>
  <si>
    <t>tcoecloud188</t>
  </si>
  <si>
    <t>tcoecloud190</t>
  </si>
  <si>
    <t>tcoecloud192</t>
  </si>
  <si>
    <t>tcoecloud206</t>
  </si>
  <si>
    <t>tcoecloud207</t>
  </si>
  <si>
    <t>tcoecloud209</t>
  </si>
  <si>
    <t>tcoecloud216</t>
  </si>
  <si>
    <t>tcoecloud217</t>
  </si>
  <si>
    <t>tcoecloud233</t>
  </si>
  <si>
    <t>JOBID</t>
  </si>
  <si>
    <t>P1</t>
  </si>
  <si>
    <t>P2</t>
  </si>
  <si>
    <t>P3</t>
  </si>
  <si>
    <t>tcoecloud291</t>
  </si>
  <si>
    <t>P4</t>
  </si>
  <si>
    <t>P5</t>
  </si>
  <si>
    <t>RUNCOUNT</t>
  </si>
  <si>
    <t>MACHINECOUNT</t>
  </si>
  <si>
    <t>Not Found</t>
  </si>
  <si>
    <t>NO MATCH VM FOUND</t>
  </si>
  <si>
    <t>tcoecloud313</t>
  </si>
  <si>
    <t>tcoecloud339</t>
  </si>
  <si>
    <t>tcoecloud340</t>
  </si>
  <si>
    <t>tcoecloud341</t>
  </si>
  <si>
    <t>tcoecloud342</t>
  </si>
  <si>
    <t>tcoecloud343</t>
  </si>
  <si>
    <t>tcoecloud344</t>
  </si>
  <si>
    <t>tcoecloud345</t>
  </si>
  <si>
    <t>tcoecloud346</t>
  </si>
  <si>
    <t>tcoecloud375</t>
  </si>
  <si>
    <t>1</t>
  </si>
  <si>
    <t>tcoecloud367</t>
  </si>
  <si>
    <t>tcoecloud368</t>
  </si>
  <si>
    <t>tcoecloud306</t>
  </si>
  <si>
    <t>Remote User</t>
  </si>
  <si>
    <t>2</t>
  </si>
  <si>
    <t>tcoecloud293</t>
  </si>
  <si>
    <t>tcoecloud294</t>
  </si>
  <si>
    <t>tcoecloud318</t>
  </si>
  <si>
    <t>tcoecloud354</t>
  </si>
  <si>
    <t>tcoecloud301</t>
  </si>
  <si>
    <t>tcoecloud304</t>
  </si>
  <si>
    <t>tcoecloud309</t>
  </si>
  <si>
    <t>tcoecloud390</t>
  </si>
  <si>
    <t>tcoecloud392</t>
  </si>
  <si>
    <t>tcoecloud312</t>
  </si>
  <si>
    <t>tcoecloud394</t>
  </si>
  <si>
    <t>tcoecloud334</t>
  </si>
  <si>
    <t>tcoecloud335</t>
  </si>
  <si>
    <t>tcoecloud336</t>
  </si>
  <si>
    <t>tcoecloud337</t>
  </si>
  <si>
    <t>tcoecloud338</t>
  </si>
  <si>
    <t>tcoecloud287</t>
  </si>
  <si>
    <t>tcoecloud373</t>
  </si>
  <si>
    <t>tcoecloud374</t>
  </si>
  <si>
    <t>tcoecloud384</t>
  </si>
  <si>
    <t>tcoecloud385</t>
  </si>
  <si>
    <t>tcoecloud386</t>
  </si>
  <si>
    <t>tcoecloud387</t>
  </si>
  <si>
    <t>tcoecloud388</t>
  </si>
  <si>
    <t>tcoecloud389</t>
  </si>
  <si>
    <t>tcoecloud391</t>
  </si>
  <si>
    <t>tcoecloud393</t>
  </si>
  <si>
    <t>tcoecloud395</t>
  </si>
  <si>
    <t>tcoecloud396</t>
  </si>
  <si>
    <t>tcoecloud397</t>
  </si>
  <si>
    <t>tcoecloud398</t>
  </si>
  <si>
    <t>tcoecloud399</t>
  </si>
  <si>
    <t>tcoecloud307</t>
  </si>
  <si>
    <t>tcoecloud400</t>
  </si>
  <si>
    <t>tcoecloud401</t>
  </si>
  <si>
    <t>tcoecloud369</t>
  </si>
  <si>
    <t>tcoecloud370</t>
  </si>
  <si>
    <t>tcoecloud371</t>
  </si>
  <si>
    <t>tcoecloud372</t>
  </si>
  <si>
    <t>tcoecloud351</t>
  </si>
  <si>
    <t>tcoecloud360</t>
  </si>
  <si>
    <t>tcoecloud285</t>
  </si>
  <si>
    <t>tcoecloud295</t>
  </si>
  <si>
    <t>tcoecloud377</t>
  </si>
  <si>
    <t>tcoecloud378</t>
  </si>
  <si>
    <t>tcoecloud366</t>
  </si>
  <si>
    <t>tcoecloud376</t>
  </si>
  <si>
    <t>tcoecloud379</t>
  </si>
  <si>
    <t>tcoecloud380</t>
  </si>
  <si>
    <t>tcoecloud381</t>
  </si>
  <si>
    <t>tcoecloud382</t>
  </si>
  <si>
    <t>tcoecloud383</t>
  </si>
  <si>
    <t>tcoecloud353</t>
  </si>
  <si>
    <t>tcoecloud288</t>
  </si>
  <si>
    <t>tcoecloud292</t>
  </si>
  <si>
    <t>tcoecloud296</t>
  </si>
  <si>
    <t>tcoecloud303</t>
  </si>
  <si>
    <t>tcoecloud289</t>
  </si>
  <si>
    <t>tcoecloud402</t>
  </si>
  <si>
    <t>tcoecloud305</t>
  </si>
  <si>
    <t>tcoecloud317</t>
  </si>
  <si>
    <t>3</t>
  </si>
  <si>
    <t>tcoecloud361</t>
  </si>
  <si>
    <t>tcoecloud365</t>
  </si>
  <si>
    <t>tcoecloud311</t>
  </si>
  <si>
    <t>tcoecloud325</t>
  </si>
  <si>
    <t>tcoecloud358</t>
  </si>
  <si>
    <t>tcoecloud359</t>
  </si>
  <si>
    <t>tcoecloud362</t>
  </si>
  <si>
    <t>tcoecloud363</t>
  </si>
  <si>
    <t>tcoecloud364</t>
  </si>
  <si>
    <t>tcoecloud284</t>
  </si>
  <si>
    <t>tcoecloud286</t>
  </si>
  <si>
    <t>tcoecloud326</t>
  </si>
  <si>
    <t>tcoecloud327</t>
  </si>
  <si>
    <t>tcoecloud328</t>
  </si>
  <si>
    <t>tcoecloud352</t>
  </si>
  <si>
    <t>tcoecloud302</t>
  </si>
  <si>
    <t>tcoecloud298</t>
  </si>
  <si>
    <t>tcoecloud299</t>
  </si>
  <si>
    <t>tcoecloud329</t>
  </si>
  <si>
    <t>tcoecloud330</t>
  </si>
  <si>
    <t>tcoecloud331</t>
  </si>
  <si>
    <t>tcoecloud332</t>
  </si>
  <si>
    <t>tcoecloud333</t>
  </si>
  <si>
    <t>tcoecloud350</t>
  </si>
  <si>
    <t>tcoecloud316</t>
  </si>
  <si>
    <t>tcoecloud347</t>
  </si>
  <si>
    <t>tcoecloud348</t>
  </si>
  <si>
    <t>tcoecloud349</t>
  </si>
  <si>
    <t>tcoecloud355</t>
  </si>
  <si>
    <t>tcoecloud290</t>
  </si>
  <si>
    <t>tcoecloud300</t>
  </si>
  <si>
    <t>tcoecloud323</t>
  </si>
  <si>
    <t>tcoecloud297</t>
  </si>
  <si>
    <t>tcoecloud324</t>
  </si>
  <si>
    <t>tcoecloud356</t>
  </si>
  <si>
    <t>tcoecloud357</t>
  </si>
  <si>
    <t>tcoecloud310</t>
  </si>
  <si>
    <t>tcoecloud314</t>
  </si>
  <si>
    <t>tcoecloud315</t>
  </si>
  <si>
    <t>tcoecloud308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</si>
  <si>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</si>
  <si>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</si>
  <si>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</si>
  <si>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</si>
  <si>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</si>
  <si>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</si>
  <si>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</si>
  <si>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</si>
  <si>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</si>
  <si>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</si>
  <si>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</si>
  <si>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</si>
  <si>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</si>
  <si>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</si>
  <si>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</si>
  <si>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</si>
  <si>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</si>
  <si>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</si>
  <si>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</si>
  <si>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</si>
  <si>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</si>
  <si>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</si>
  <si>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</si>
  <si>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</si>
  <si>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</si>
  <si>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</si>
  <si>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</si>
  <si>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10</t>
  </si>
  <si>
    <t>11</t>
  </si>
  <si>
    <t>12</t>
  </si>
  <si>
    <t>13</t>
  </si>
  <si>
    <t>4</t>
  </si>
  <si>
    <t>5</t>
  </si>
  <si>
    <t>6</t>
  </si>
  <si>
    <t>7</t>
  </si>
  <si>
    <t>8</t>
  </si>
  <si>
    <t>9</t>
  </si>
  <si>
    <t>tcoecloud319</t>
  </si>
  <si>
    <t>tcoecloud320</t>
  </si>
  <si>
    <t xml:space="preserve">Active </t>
  </si>
  <si>
    <t>Logged in as N</t>
  </si>
  <si>
    <t>Remote</t>
  </si>
  <si>
    <t>Logged In as D</t>
  </si>
  <si>
    <t>No VM Found</t>
  </si>
  <si>
    <t>RunStart</t>
  </si>
  <si>
    <t>RunEnd</t>
  </si>
  <si>
    <t>Date</t>
  </si>
  <si>
    <t>Time</t>
  </si>
  <si>
    <t>endTime</t>
  </si>
  <si>
    <t>Run Start Time</t>
  </si>
  <si>
    <t>Dead</t>
  </si>
  <si>
    <t>Pending</t>
  </si>
  <si>
    <t>Completed</t>
  </si>
  <si>
    <t>tcoecloud322</t>
  </si>
  <si>
    <t>tcoecloud404</t>
  </si>
  <si>
    <t>tcoecloud403</t>
  </si>
  <si>
    <t>tcoecloud321</t>
  </si>
  <si>
    <t>RDP</t>
  </si>
  <si>
    <t>Account Locked</t>
  </si>
  <si>
    <t>AccountLocked</t>
  </si>
  <si>
    <t>tcoecloud405</t>
  </si>
  <si>
    <t>tcoecloud406</t>
  </si>
  <si>
    <t>APPLICATION</t>
  </si>
  <si>
    <t>OWNER</t>
  </si>
  <si>
    <t>Partially built with tosca 11.2</t>
  </si>
  <si>
    <t>BAU Application</t>
  </si>
  <si>
    <t>OUI</t>
  </si>
  <si>
    <t>Data Team</t>
  </si>
  <si>
    <t>Chrome\OUI</t>
  </si>
  <si>
    <t>Base assets creation¿R1808</t>
  </si>
  <si>
    <t>SaiPrakash/VIn</t>
  </si>
  <si>
    <t>Gaurav Arora</t>
  </si>
  <si>
    <t>Amandeep Virk</t>
  </si>
  <si>
    <t>Nayana Ahire</t>
  </si>
  <si>
    <t>Data TEam</t>
  </si>
  <si>
    <t>iLITE Sprint 18</t>
  </si>
  <si>
    <t xml:space="preserve">Hitesh Ankolekar, </t>
  </si>
  <si>
    <t>RCRM Stage Gating Process</t>
  </si>
  <si>
    <t>LOLO POC</t>
  </si>
  <si>
    <t>Vin Uppinkudru</t>
  </si>
  <si>
    <t xml:space="preserve">DEX Server for Amdocs </t>
  </si>
  <si>
    <t>Alok Mishra</t>
  </si>
  <si>
    <t xml:space="preserve">Lolam, Pravin </t>
  </si>
  <si>
    <t>EDGE</t>
  </si>
  <si>
    <t>Edge Infosys</t>
  </si>
  <si>
    <t xml:space="preserve">CTS Vasista Sarvepalli, </t>
  </si>
  <si>
    <t>Shrilakshmi Sakri</t>
  </si>
  <si>
    <t>Downstream</t>
  </si>
  <si>
    <t>Kanchanmala Prathapan</t>
  </si>
  <si>
    <t>Amit Kumar Sharanabasappa</t>
  </si>
  <si>
    <t>Brian</t>
  </si>
  <si>
    <t>Tanu Gupta</t>
  </si>
  <si>
    <t>Gunasekaran,Sree Hari Krishnan</t>
  </si>
  <si>
    <t>Partially built with tosca 11.28</t>
  </si>
  <si>
    <t>LOLO Application</t>
  </si>
  <si>
    <t>Offshore</t>
  </si>
  <si>
    <t>Umesh HS</t>
  </si>
  <si>
    <t>Edge infosys</t>
  </si>
  <si>
    <t>Partially built with tosca 11.27</t>
  </si>
  <si>
    <t>CTS Vasista Sarvepalli,¿</t>
  </si>
  <si>
    <t>Shakshi Pathak</t>
  </si>
  <si>
    <t>Partially built with tosca 11.26</t>
  </si>
  <si>
    <t>EDGE Automation</t>
  </si>
  <si>
    <t xml:space="preserve">EDGE Team </t>
  </si>
  <si>
    <t>Partially built with tosca 11.25</t>
  </si>
  <si>
    <t>Partially built with tosca 11.24</t>
  </si>
  <si>
    <t>RiDA - Not being used</t>
  </si>
  <si>
    <t>NBN+</t>
  </si>
  <si>
    <t>Partially built with tosca 11.23</t>
  </si>
  <si>
    <t>Madhu</t>
  </si>
  <si>
    <t>Partially built with tosca 11.22</t>
  </si>
  <si>
    <t>Kalaivani Palanisamy</t>
  </si>
  <si>
    <t>Partially built with tosca 11.21</t>
  </si>
  <si>
    <t>Partially built with tosca 11.20</t>
  </si>
  <si>
    <t>Raja M</t>
  </si>
  <si>
    <t>Enviornments team</t>
  </si>
  <si>
    <t>Mandar</t>
  </si>
  <si>
    <t>NBN+ Team</t>
  </si>
  <si>
    <t>Gaurav</t>
  </si>
  <si>
    <t>Edge</t>
  </si>
  <si>
    <t>Shakeout</t>
  </si>
  <si>
    <t>Data</t>
  </si>
  <si>
    <t>iLITE</t>
  </si>
  <si>
    <t>RCRM</t>
  </si>
  <si>
    <t>LOLO</t>
  </si>
  <si>
    <t>MAXIM</t>
  </si>
  <si>
    <t>Digital</t>
  </si>
  <si>
    <t>NBN/MMF</t>
  </si>
  <si>
    <t>Tosca 11.2</t>
  </si>
  <si>
    <t>Ranjith</t>
  </si>
  <si>
    <t>Dinesh / Shankar</t>
  </si>
  <si>
    <t>TOSCA 11.2</t>
  </si>
  <si>
    <t>Maxim</t>
  </si>
  <si>
    <t>MAXIM Team</t>
  </si>
  <si>
    <t>IterateDB RCRM</t>
  </si>
  <si>
    <t>Iterate DB RCRM</t>
  </si>
  <si>
    <t>Rohin Reddy</t>
  </si>
  <si>
    <t>Partially built with tosca 11.3</t>
  </si>
  <si>
    <t>Partially built with tosca 11.4</t>
  </si>
  <si>
    <t xml:space="preserve">W0085EBB8C7457 </t>
  </si>
  <si>
    <t>Partially built with tosca 11.5</t>
  </si>
  <si>
    <t>Partially built with tosca 11.6</t>
  </si>
  <si>
    <t>Digital Team</t>
  </si>
  <si>
    <t>Partially built with tosca 11.7</t>
  </si>
  <si>
    <t>Partially built with tosca 11.9</t>
  </si>
  <si>
    <t>Partially built with tosca 11.8</t>
  </si>
  <si>
    <t>Partially built with tosca 11.10</t>
  </si>
  <si>
    <t>Partially built with tosca 11.11</t>
  </si>
  <si>
    <t>Partially built with tosca 11.12</t>
  </si>
  <si>
    <t>Partially built with tosca 11.13</t>
  </si>
  <si>
    <t>Partially built with tosca 11.15</t>
  </si>
  <si>
    <t>Partially built with tosca 11.14</t>
  </si>
  <si>
    <t>Partially built with tosca 11.16</t>
  </si>
  <si>
    <t>Partially built with tosca 11.18</t>
  </si>
  <si>
    <t>Partially built with tosca 11.17</t>
  </si>
  <si>
    <t>Health Check</t>
  </si>
  <si>
    <t>Shakeout 2 HR INT1</t>
  </si>
  <si>
    <t>John Jesu</t>
  </si>
  <si>
    <t>Iterate DB</t>
  </si>
  <si>
    <t>P6</t>
  </si>
  <si>
    <t>P9</t>
  </si>
  <si>
    <t>P10</t>
  </si>
  <si>
    <t>Partially built with tosca 11.19</t>
  </si>
  <si>
    <t>0.00 -1.00</t>
  </si>
  <si>
    <t>P7</t>
  </si>
  <si>
    <t>P8</t>
  </si>
  <si>
    <t>1.00 -2.00</t>
  </si>
  <si>
    <t>2.00 -3.00</t>
  </si>
  <si>
    <t>3.00 -4.00</t>
  </si>
  <si>
    <t>4.00 -5.00</t>
  </si>
  <si>
    <t>5.00 -6.00</t>
  </si>
  <si>
    <t>6.00 -7.00</t>
  </si>
  <si>
    <t>8.00 -9.00</t>
  </si>
  <si>
    <t>9.00 -10.00</t>
  </si>
  <si>
    <t>10.00 -11.00</t>
  </si>
  <si>
    <t>11.00 -12.00</t>
  </si>
  <si>
    <t>12.00 -13.00</t>
  </si>
  <si>
    <t>13.00 -14.00</t>
  </si>
  <si>
    <t>14.00 -15.00</t>
  </si>
  <si>
    <t>15.00 -16.00</t>
  </si>
  <si>
    <t>16.00 -17.00</t>
  </si>
  <si>
    <t>7.00 -8.00</t>
  </si>
  <si>
    <t>17.00 -18.00</t>
  </si>
  <si>
    <t>18.00 -19.00</t>
  </si>
  <si>
    <t>19.00 -20.00</t>
  </si>
  <si>
    <t>20.00 -21.00</t>
  </si>
  <si>
    <t>21.00 -22.00</t>
  </si>
  <si>
    <t>22.00 -23.00</t>
  </si>
  <si>
    <t>23.00 -0.00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</si>
</sst>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33" borderId="0" xfId="0" applyFill="1"/>
    <xf numFmtId="14" fontId="0" fillId="0" borderId="0" xfId="0" applyNumberFormat="1"/>
    <xf numFmtId="164" fontId="0" fillId="0" borderId="0" xfId="0" applyNumberFormat="1"/>
    <xf numFmtId="0" fontId="0" fillId="34" borderId="0" xfId="0" applyFill="1"/>
    <xf numFmtId="20" fontId="0" fillId="34" borderId="0" xfId="0" applyNumberFormat="1" applyFill="1"/>
    <xf numFmtId="0" fontId="0" fillId="35" borderId="0" xfId="0" applyFill="1"/>
    <xf numFmtId="164" fontId="0" fillId="35" borderId="0" xfId="0" applyNumberFormat="1" applyFill="1"/>
    <xf numFmtId="0" fontId="0" fillId="36" borderId="0" xfId="0" applyFill="1"/>
    <xf numFmtId="0" fontId="0" fillId="35" borderId="0" xfId="0" applyNumberFormat="1" applyFill="1"/>
    <xf numFmtId="0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WholeDayResults!$A$1</c:f>
              <c:strCache>
                <c:ptCount val="1"/>
                <c:pt idx="0">
                  <c:v>Active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WholeDayResults!$A$2:$A$13</c:f>
              <c:numCache>
                <c:formatCode>General</c:formatCode>
                <c:ptCount val="12"/>
                <c:pt idx="0">
                  <c:v>219</c:v>
                </c:pt>
                <c:pt idx="1">
                  <c:v>222</c:v>
                </c:pt>
                <c:pt idx="2">
                  <c:v>226</c:v>
                </c:pt>
                <c:pt idx="3">
                  <c:v>181</c:v>
                </c:pt>
                <c:pt idx="4">
                  <c:v>214</c:v>
                </c:pt>
                <c:pt idx="5">
                  <c:v>109</c:v>
                </c:pt>
                <c:pt idx="6">
                  <c:v>195</c:v>
                </c:pt>
                <c:pt idx="7">
                  <c:v>188</c:v>
                </c:pt>
                <c:pt idx="8">
                  <c:v>113</c:v>
                </c:pt>
                <c:pt idx="9">
                  <c:v>105</c:v>
                </c:pt>
                <c:pt idx="10">
                  <c:v>47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WholeDayResults!$B$1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WholeDayResults!$B$2:$B$13</c:f>
              <c:numCache>
                <c:formatCode>General</c:formatCode>
                <c:ptCount val="12"/>
                <c:pt idx="0">
                  <c:v>42</c:v>
                </c:pt>
                <c:pt idx="1">
                  <c:v>47</c:v>
                </c:pt>
                <c:pt idx="2">
                  <c:v>48</c:v>
                </c:pt>
                <c:pt idx="3">
                  <c:v>37</c:v>
                </c:pt>
                <c:pt idx="4">
                  <c:v>41</c:v>
                </c:pt>
                <c:pt idx="5">
                  <c:v>10</c:v>
                </c:pt>
                <c:pt idx="6">
                  <c:v>37</c:v>
                </c:pt>
                <c:pt idx="7">
                  <c:v>13</c:v>
                </c:pt>
                <c:pt idx="8">
                  <c:v>2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WholeDayResults!$C$1</c:f>
              <c:strCache>
                <c:ptCount val="1"/>
                <c:pt idx="0">
                  <c:v>Remote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WholeDayResults!$D$1</c:f>
              <c:strCache>
                <c:ptCount val="1"/>
                <c:pt idx="0">
                  <c:v>Logged In as 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WholeDayResults!$E$1</c:f>
              <c:strCache>
                <c:ptCount val="1"/>
                <c:pt idx="0">
                  <c:v>Logged in as 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WholeDayResults!$E$2:$E$13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26</c:v>
                </c:pt>
                <c:pt idx="7">
                  <c:v>16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WholeDayResults!$F$1</c:f>
              <c:strCache>
                <c:ptCount val="1"/>
                <c:pt idx="0">
                  <c:v>No VM Found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WholeDayResults!$F$2:$F$13</c:f>
              <c:numCache>
                <c:formatCode>General</c:formatCode>
                <c:ptCount val="12"/>
                <c:pt idx="0">
                  <c:v>8</c:v>
                </c:pt>
                <c:pt idx="1">
                  <c:v>21</c:v>
                </c:pt>
                <c:pt idx="2">
                  <c:v>15</c:v>
                </c:pt>
                <c:pt idx="3">
                  <c:v>17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WholeDayResults!$G$1</c:f>
              <c:strCache>
                <c:ptCount val="1"/>
                <c:pt idx="0">
                  <c:v>Connection Timeout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WholeDayResults!$G$2:$G$13</c:f>
              <c:numCache>
                <c:formatCode>General</c:formatCode>
                <c:ptCount val="12"/>
                <c:pt idx="0">
                  <c:v>18</c:v>
                </c:pt>
                <c:pt idx="1">
                  <c:v>15</c:v>
                </c:pt>
                <c:pt idx="2">
                  <c:v>19</c:v>
                </c:pt>
                <c:pt idx="3">
                  <c:v>57</c:v>
                </c:pt>
                <c:pt idx="4">
                  <c:v>72</c:v>
                </c:pt>
                <c:pt idx="5">
                  <c:v>24</c:v>
                </c:pt>
                <c:pt idx="6">
                  <c:v>45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887336"/>
        <c:axId val="168058864"/>
      </c:barChart>
      <c:catAx>
        <c:axId val="195887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Run</a:t>
                </a:r>
                <a:r>
                  <a:rPr lang="en-AU" baseline="0"/>
                  <a:t> Count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58864"/>
        <c:crosses val="autoZero"/>
        <c:auto val="1"/>
        <c:lblAlgn val="ctr"/>
        <c:lblOffset val="100"/>
        <c:noMultiLvlLbl val="0"/>
      </c:catAx>
      <c:valAx>
        <c:axId val="1680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Machine 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8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WholeDayResults!$K$2:$K$25</c:f>
              <c:numCache>
                <c:formatCode>General</c:formatCode>
                <c:ptCount val="24"/>
                <c:pt idx="0">
                  <c:v>59</c:v>
                </c:pt>
                <c:pt idx="1">
                  <c:v>59</c:v>
                </c:pt>
                <c:pt idx="2">
                  <c:v>58</c:v>
                </c:pt>
                <c:pt idx="3">
                  <c:v>112</c:v>
                </c:pt>
                <c:pt idx="4">
                  <c:v>151</c:v>
                </c:pt>
                <c:pt idx="5">
                  <c:v>53</c:v>
                </c:pt>
                <c:pt idx="6">
                  <c:v>68</c:v>
                </c:pt>
                <c:pt idx="7">
                  <c:v>20</c:v>
                </c:pt>
                <c:pt idx="8">
                  <c:v>24</c:v>
                </c:pt>
                <c:pt idx="9">
                  <c:v>26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WholeDayResults!$L$2:$L$25</c:f>
              <c:numCache>
                <c:formatCode>General</c:formatCode>
                <c:ptCount val="24"/>
                <c:pt idx="0">
                  <c:v>219</c:v>
                </c:pt>
                <c:pt idx="1">
                  <c:v>223</c:v>
                </c:pt>
                <c:pt idx="2">
                  <c:v>227</c:v>
                </c:pt>
                <c:pt idx="3">
                  <c:v>182</c:v>
                </c:pt>
                <c:pt idx="4">
                  <c:v>218</c:v>
                </c:pt>
                <c:pt idx="5">
                  <c:v>110</c:v>
                </c:pt>
                <c:pt idx="6">
                  <c:v>222</c:v>
                </c:pt>
                <c:pt idx="7">
                  <c:v>213</c:v>
                </c:pt>
                <c:pt idx="8">
                  <c:v>114</c:v>
                </c:pt>
                <c:pt idx="9">
                  <c:v>105</c:v>
                </c:pt>
                <c:pt idx="10">
                  <c:v>47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WholeDayResults!$M$2:$M$25</c:f>
              <c:numCache>
                <c:formatCode>General</c:formatCode>
                <c:ptCount val="24"/>
                <c:pt idx="0">
                  <c:v>42</c:v>
                </c:pt>
                <c:pt idx="1">
                  <c:v>47</c:v>
                </c:pt>
                <c:pt idx="2">
                  <c:v>48</c:v>
                </c:pt>
                <c:pt idx="3">
                  <c:v>37</c:v>
                </c:pt>
                <c:pt idx="4">
                  <c:v>41</c:v>
                </c:pt>
                <c:pt idx="5">
                  <c:v>10</c:v>
                </c:pt>
                <c:pt idx="6">
                  <c:v>37</c:v>
                </c:pt>
                <c:pt idx="7">
                  <c:v>13</c:v>
                </c:pt>
                <c:pt idx="8">
                  <c:v>2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WholeDayResults!$N$1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WholeDayResults!$N$2:$N$25</c:f>
              <c:numCache>
                <c:formatCode>General</c:formatCode>
                <c:ptCount val="24"/>
                <c:pt idx="0">
                  <c:v>320</c:v>
                </c:pt>
                <c:pt idx="1">
                  <c:v>333</c:v>
                </c:pt>
                <c:pt idx="2">
                  <c:v>336</c:v>
                </c:pt>
                <c:pt idx="3">
                  <c:v>335</c:v>
                </c:pt>
                <c:pt idx="4">
                  <c:v>415</c:v>
                </c:pt>
                <c:pt idx="5">
                  <c:v>178</c:v>
                </c:pt>
                <c:pt idx="6">
                  <c:v>342</c:v>
                </c:pt>
                <c:pt idx="7">
                  <c:v>258</c:v>
                </c:pt>
                <c:pt idx="8">
                  <c:v>144</c:v>
                </c:pt>
                <c:pt idx="9">
                  <c:v>139</c:v>
                </c:pt>
                <c:pt idx="10">
                  <c:v>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WholeDayResults!$O$1</c:f>
              <c:strCache>
                <c:ptCount val="1"/>
                <c:pt idx="0">
                  <c:v>Run Start Time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WholeDayResults!$O$2:$O$25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WholeDayResults!$P$2:$P$25</c:f>
              <c:numCache>
                <c:formatCode>General</c:formatCode>
                <c:ptCount val="24"/>
                <c:pt idx="0">
                  <c:v>80</c:v>
                </c:pt>
                <c:pt idx="1">
                  <c:v>67</c:v>
                </c:pt>
                <c:pt idx="2">
                  <c:v>64</c:v>
                </c:pt>
                <c:pt idx="3">
                  <c:v>65</c:v>
                </c:pt>
                <c:pt idx="4">
                  <c:v>-15</c:v>
                </c:pt>
                <c:pt idx="5">
                  <c:v>222</c:v>
                </c:pt>
                <c:pt idx="6">
                  <c:v>58</c:v>
                </c:pt>
                <c:pt idx="7">
                  <c:v>142</c:v>
                </c:pt>
                <c:pt idx="8">
                  <c:v>256</c:v>
                </c:pt>
                <c:pt idx="9">
                  <c:v>261</c:v>
                </c:pt>
                <c:pt idx="10">
                  <c:v>349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ser>
          <c:idx val="6"/>
          <c:order val="6"/>
          <c:tx>
            <c:strRef>
              <c:f>WholeDayResults!$Q$1</c:f>
              <c:strCache>
                <c:ptCount val="1"/>
                <c:pt idx="0">
                  <c:v>RDP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WholeDayResults!$Q$2:$Q$25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7"/>
          <c:tx>
            <c:strRef>
              <c:f>WholeDayResults!$R$1</c:f>
              <c:strCache>
                <c:ptCount val="1"/>
                <c:pt idx="0">
                  <c:v>Account Locked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WholeDayResults!$R$2:$R$25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059648"/>
        <c:axId val="168060040"/>
      </c:barChart>
      <c:catAx>
        <c:axId val="16805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040"/>
        <c:crosses val="autoZero"/>
        <c:auto val="1"/>
        <c:lblAlgn val="ctr"/>
        <c:lblOffset val="100"/>
        <c:noMultiLvlLbl val="0"/>
      </c:catAx>
      <c:valAx>
        <c:axId val="16806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WholeDayResults!$K$2:$K$25</c:f>
              <c:numCache>
                <c:formatCode>General</c:formatCode>
                <c:ptCount val="24"/>
                <c:pt idx="0">
                  <c:v>59</c:v>
                </c:pt>
                <c:pt idx="1">
                  <c:v>59</c:v>
                </c:pt>
                <c:pt idx="2">
                  <c:v>58</c:v>
                </c:pt>
                <c:pt idx="3">
                  <c:v>112</c:v>
                </c:pt>
                <c:pt idx="4">
                  <c:v>151</c:v>
                </c:pt>
                <c:pt idx="5">
                  <c:v>53</c:v>
                </c:pt>
                <c:pt idx="6">
                  <c:v>68</c:v>
                </c:pt>
                <c:pt idx="7">
                  <c:v>20</c:v>
                </c:pt>
                <c:pt idx="8">
                  <c:v>24</c:v>
                </c:pt>
                <c:pt idx="9">
                  <c:v>26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WholeDayResults!$L$2:$L$25</c:f>
              <c:numCache>
                <c:formatCode>General</c:formatCode>
                <c:ptCount val="24"/>
                <c:pt idx="0">
                  <c:v>219</c:v>
                </c:pt>
                <c:pt idx="1">
                  <c:v>223</c:v>
                </c:pt>
                <c:pt idx="2">
                  <c:v>227</c:v>
                </c:pt>
                <c:pt idx="3">
                  <c:v>182</c:v>
                </c:pt>
                <c:pt idx="4">
                  <c:v>218</c:v>
                </c:pt>
                <c:pt idx="5">
                  <c:v>110</c:v>
                </c:pt>
                <c:pt idx="6">
                  <c:v>222</c:v>
                </c:pt>
                <c:pt idx="7">
                  <c:v>213</c:v>
                </c:pt>
                <c:pt idx="8">
                  <c:v>114</c:v>
                </c:pt>
                <c:pt idx="9">
                  <c:v>105</c:v>
                </c:pt>
                <c:pt idx="10">
                  <c:v>47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WholeDayResults!$M$2:$M$25</c:f>
              <c:numCache>
                <c:formatCode>General</c:formatCode>
                <c:ptCount val="24"/>
                <c:pt idx="0">
                  <c:v>42</c:v>
                </c:pt>
                <c:pt idx="1">
                  <c:v>47</c:v>
                </c:pt>
                <c:pt idx="2">
                  <c:v>48</c:v>
                </c:pt>
                <c:pt idx="3">
                  <c:v>37</c:v>
                </c:pt>
                <c:pt idx="4">
                  <c:v>41</c:v>
                </c:pt>
                <c:pt idx="5">
                  <c:v>10</c:v>
                </c:pt>
                <c:pt idx="6">
                  <c:v>37</c:v>
                </c:pt>
                <c:pt idx="7">
                  <c:v>13</c:v>
                </c:pt>
                <c:pt idx="8">
                  <c:v>2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WholeDayResults!$N$1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WholeDayResults!$N$2:$N$25</c:f>
              <c:numCache>
                <c:formatCode>General</c:formatCode>
                <c:ptCount val="24"/>
                <c:pt idx="0">
                  <c:v>320</c:v>
                </c:pt>
                <c:pt idx="1">
                  <c:v>333</c:v>
                </c:pt>
                <c:pt idx="2">
                  <c:v>336</c:v>
                </c:pt>
                <c:pt idx="3">
                  <c:v>335</c:v>
                </c:pt>
                <c:pt idx="4">
                  <c:v>415</c:v>
                </c:pt>
                <c:pt idx="5">
                  <c:v>178</c:v>
                </c:pt>
                <c:pt idx="6">
                  <c:v>342</c:v>
                </c:pt>
                <c:pt idx="7">
                  <c:v>258</c:v>
                </c:pt>
                <c:pt idx="8">
                  <c:v>144</c:v>
                </c:pt>
                <c:pt idx="9">
                  <c:v>139</c:v>
                </c:pt>
                <c:pt idx="10">
                  <c:v>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WholeDayResults!$P$2:$P$25</c:f>
              <c:numCache>
                <c:formatCode>General</c:formatCode>
                <c:ptCount val="24"/>
                <c:pt idx="0">
                  <c:v>80</c:v>
                </c:pt>
                <c:pt idx="1">
                  <c:v>67</c:v>
                </c:pt>
                <c:pt idx="2">
                  <c:v>64</c:v>
                </c:pt>
                <c:pt idx="3">
                  <c:v>65</c:v>
                </c:pt>
                <c:pt idx="4">
                  <c:v>-15</c:v>
                </c:pt>
                <c:pt idx="5">
                  <c:v>222</c:v>
                </c:pt>
                <c:pt idx="6">
                  <c:v>58</c:v>
                </c:pt>
                <c:pt idx="7">
                  <c:v>142</c:v>
                </c:pt>
                <c:pt idx="8">
                  <c:v>256</c:v>
                </c:pt>
                <c:pt idx="9">
                  <c:v>261</c:v>
                </c:pt>
                <c:pt idx="10">
                  <c:v>349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371960"/>
        <c:axId val="198372352"/>
      </c:barChart>
      <c:catAx>
        <c:axId val="198371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2352"/>
        <c:crosses val="autoZero"/>
        <c:auto val="1"/>
        <c:lblAlgn val="ctr"/>
        <c:lblOffset val="100"/>
        <c:noMultiLvlLbl val="0"/>
      </c:catAx>
      <c:valAx>
        <c:axId val="19837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1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Health Check</a:t>
            </a:r>
            <a:r>
              <a:rPr lang="en-AU" baseline="0"/>
              <a:t> Machine Status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WholeDayResults!$M$2:$M$25</c:f>
              <c:numCache>
                <c:formatCode>General</c:formatCode>
                <c:ptCount val="24"/>
                <c:pt idx="0">
                  <c:v>42</c:v>
                </c:pt>
                <c:pt idx="1">
                  <c:v>47</c:v>
                </c:pt>
                <c:pt idx="2">
                  <c:v>48</c:v>
                </c:pt>
                <c:pt idx="3">
                  <c:v>37</c:v>
                </c:pt>
                <c:pt idx="4">
                  <c:v>41</c:v>
                </c:pt>
                <c:pt idx="5">
                  <c:v>10</c:v>
                </c:pt>
                <c:pt idx="6">
                  <c:v>37</c:v>
                </c:pt>
                <c:pt idx="7">
                  <c:v>13</c:v>
                </c:pt>
                <c:pt idx="8">
                  <c:v>2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WholeDayResults!$L$2:$L$25</c:f>
              <c:numCache>
                <c:formatCode>General</c:formatCode>
                <c:ptCount val="24"/>
                <c:pt idx="0">
                  <c:v>219</c:v>
                </c:pt>
                <c:pt idx="1">
                  <c:v>223</c:v>
                </c:pt>
                <c:pt idx="2">
                  <c:v>227</c:v>
                </c:pt>
                <c:pt idx="3">
                  <c:v>182</c:v>
                </c:pt>
                <c:pt idx="4">
                  <c:v>218</c:v>
                </c:pt>
                <c:pt idx="5">
                  <c:v>110</c:v>
                </c:pt>
                <c:pt idx="6">
                  <c:v>222</c:v>
                </c:pt>
                <c:pt idx="7">
                  <c:v>213</c:v>
                </c:pt>
                <c:pt idx="8">
                  <c:v>114</c:v>
                </c:pt>
                <c:pt idx="9">
                  <c:v>105</c:v>
                </c:pt>
                <c:pt idx="10">
                  <c:v>47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2"/>
          <c:tx>
            <c:strRef>
              <c:f>WholeDayResults!$R$1</c:f>
              <c:strCache>
                <c:ptCount val="1"/>
                <c:pt idx="0">
                  <c:v>Account Locked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WholeDayResults!$R$2:$R$25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0"/>
          <c:order val="3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WholeDayResults!$K$2:$K$25</c:f>
              <c:numCache>
                <c:formatCode>General</c:formatCode>
                <c:ptCount val="24"/>
                <c:pt idx="0">
                  <c:v>59</c:v>
                </c:pt>
                <c:pt idx="1">
                  <c:v>59</c:v>
                </c:pt>
                <c:pt idx="2">
                  <c:v>58</c:v>
                </c:pt>
                <c:pt idx="3">
                  <c:v>112</c:v>
                </c:pt>
                <c:pt idx="4">
                  <c:v>151</c:v>
                </c:pt>
                <c:pt idx="5">
                  <c:v>53</c:v>
                </c:pt>
                <c:pt idx="6">
                  <c:v>68</c:v>
                </c:pt>
                <c:pt idx="7">
                  <c:v>20</c:v>
                </c:pt>
                <c:pt idx="8">
                  <c:v>24</c:v>
                </c:pt>
                <c:pt idx="9">
                  <c:v>26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4"/>
          <c:tx>
            <c:strRef>
              <c:f>WholeDayResults!$Q$1</c:f>
              <c:strCache>
                <c:ptCount val="1"/>
                <c:pt idx="0">
                  <c:v>RDP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WholeDayResults!$Q$2:$Q$25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5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WholeDayResults!$P$2:$P$25</c:f>
              <c:numCache>
                <c:formatCode>General</c:formatCode>
                <c:ptCount val="24"/>
                <c:pt idx="0">
                  <c:v>80</c:v>
                </c:pt>
                <c:pt idx="1">
                  <c:v>67</c:v>
                </c:pt>
                <c:pt idx="2">
                  <c:v>64</c:v>
                </c:pt>
                <c:pt idx="3">
                  <c:v>65</c:v>
                </c:pt>
                <c:pt idx="4">
                  <c:v>-15</c:v>
                </c:pt>
                <c:pt idx="5">
                  <c:v>222</c:v>
                </c:pt>
                <c:pt idx="6">
                  <c:v>58</c:v>
                </c:pt>
                <c:pt idx="7">
                  <c:v>142</c:v>
                </c:pt>
                <c:pt idx="8">
                  <c:v>256</c:v>
                </c:pt>
                <c:pt idx="9">
                  <c:v>261</c:v>
                </c:pt>
                <c:pt idx="10">
                  <c:v>349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8373528"/>
        <c:axId val="198373920"/>
      </c:barChart>
      <c:catAx>
        <c:axId val="198373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Run 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3920"/>
        <c:crosses val="autoZero"/>
        <c:auto val="1"/>
        <c:lblAlgn val="ctr"/>
        <c:lblOffset val="100"/>
        <c:noMultiLvlLbl val="0"/>
      </c:catAx>
      <c:valAx>
        <c:axId val="19837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Machine 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28</xdr:row>
      <xdr:rowOff>66675</xdr:rowOff>
    </xdr:from>
    <xdr:to>
      <xdr:col>16</xdr:col>
      <xdr:colOff>381000</xdr:colOff>
      <xdr:row>54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25</xdr:row>
      <xdr:rowOff>33337</xdr:rowOff>
    </xdr:from>
    <xdr:to>
      <xdr:col>17</xdr:col>
      <xdr:colOff>542925</xdr:colOff>
      <xdr:row>39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581025</xdr:colOff>
      <xdr:row>29</xdr:row>
      <xdr:rowOff>19050</xdr:rowOff>
    </xdr:from>
    <xdr:to>
      <xdr:col>22</xdr:col>
      <xdr:colOff>800100</xdr:colOff>
      <xdr:row>43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228600</xdr:colOff>
      <xdr:row>32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JOBID" tableColumnId="6"/>
      <queryTableField id="7" name="RUNCOUNT" tableColumnId="7"/>
      <queryTableField id="8" name="MACHINECOUNT" tableColumnId="8"/>
      <queryTableField id="9" name="APPLICATION" tableColumnId="9"/>
      <queryTableField id="10" name="OWNER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1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9" name="APPLICATION" tableColumnId="6"/>
      <queryTableField id="10" name="OWNER" tableColumnId="7"/>
    </queryTableFields>
  </queryTableRefresh>
</queryTable>
</file>

<file path=xl/queryTables/queryTable3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APPLICATION" tableColumnId="6"/>
      <queryTableField id="7" name="OWNER" tableColumnId="7"/>
    </queryTableFields>
  </queryTableRefresh>
</queryTable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APPLICATION" tableColumnId="6"/>
      <queryTableField id="7" name="OWNER" tableColumnId="7"/>
    </queryTableFields>
  </queryTableRefresh>
</queryTable>
</file>

<file path=xl/queryTables/queryTable5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4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12" name="APPLICATION" tableColumnId="6"/>
      <queryTableField id="13" name="OWNE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4" name="Table_ExternalData_1" displayName="Table_ExternalData_1" ref="A1:J2856" tableType="queryTable" totalsRowShown="0">
  <autoFilter ref="A1:J2856">
    <filterColumn colId="3">
      <filters>
        <filter val="Connection Timeout"/>
        <filter val="Dead"/>
        <filter val="NO MATCH VM FOUND"/>
      </filters>
    </filterColumn>
    <filterColumn colId="4">
      <filters>
        <dateGroupItem year="2018" month="8" day="23" hour="15" dateTimeGrouping="hour"/>
      </filters>
    </filterColumn>
  </autoFilter>
  <tableColumns count="10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0"/>
    <tableColumn id="6" uniqueName="6" name="JOBID" queryTableFieldId="6"/>
    <tableColumn id="7" uniqueName="7" name="RUNCOUNT" queryTableFieldId="7"/>
    <tableColumn id="8" uniqueName="8" name="MACHINECOUNT" queryTableFieldId="8"/>
    <tableColumn id="9" uniqueName="9" name="APPLICATION" queryTableFieldId="9"/>
    <tableColumn id="10" uniqueName="10" name="OWNER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ExternalData_12" displayName="Table_ExternalData_12" ref="A1:G407" tableType="queryTable" totalsRowShown="0">
  <autoFilter ref="A1:G407">
    <filterColumn colId="0">
      <filters>
        <filter val="tcoecloud292"/>
        <filter val="tcoecloud293"/>
        <filter val="tcoecloud294"/>
      </filters>
    </filterColumn>
  </autoFilter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6"/>
    <tableColumn id="6" uniqueName="6" name="APPLICATION" queryTableFieldId="9" dataDxfId="5"/>
    <tableColumn id="7" uniqueName="7" name="OWNER" queryTableFieldId="10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holeDay" displayName="WholeDay" ref="K1:R25" totalsRowShown="0" headerRowDxfId="18">
  <autoFilter ref="K1:R25"/>
  <tableColumns count="8">
    <tableColumn id="1" name="Failed" dataDxfId="17">
      <calculatedColumnFormula>SUM(F2,G2,J2)</calculatedColumnFormula>
    </tableColumn>
    <tableColumn id="2" name="Active">
      <calculatedColumnFormula>SUM(A2,D2,E2)</calculatedColumnFormula>
    </tableColumn>
    <tableColumn id="3" name="Other" dataDxfId="16">
      <calculatedColumnFormula>SUM(B2)</calculatedColumnFormula>
    </tableColumn>
    <tableColumn id="4" name="Completed" dataDxfId="15">
      <calculatedColumnFormula>SUM(K2,L2,M2,Q2,R2)</calculatedColumnFormula>
    </tableColumn>
    <tableColumn id="5" name="Run Start Time" dataDxfId="14"/>
    <tableColumn id="6" name="Pending" dataDxfId="13">
      <calculatedColumnFormula>SUM(400,-N2)</calculatedColumnFormula>
    </tableColumn>
    <tableColumn id="7" name="RDP" dataDxfId="12">
      <calculatedColumnFormula>SUM(C2)</calculatedColumnFormula>
    </tableColumn>
    <tableColumn id="8" name="Account Locked" dataDxfId="11">
      <calculatedColumnFormula>SUM(H2)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ExternalData_16" displayName="Table_ExternalData_16" ref="A1:G12" tableType="queryTable" totalsRowShown="0">
  <autoFilter ref="A1:G12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10"/>
    <tableColumn id="6" uniqueName="6" name="APPLICATION" queryTableFieldId="6"/>
    <tableColumn id="7" uniqueName="7" name="OWNER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_ExternalData_13" displayName="Table_ExternalData_13" ref="A1:G2" tableType="queryTable" insertRow="1" totalsRowShown="0">
  <autoFilter ref="A1:G2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9"/>
    <tableColumn id="6" uniqueName="6" name="APPLICATION" queryTableFieldId="6" dataDxfId="8"/>
    <tableColumn id="7" uniqueName="7" name="OWNER" queryTableFieldId="7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_ExternalData_18" displayName="Table_ExternalData_18" ref="A1:G27" tableType="queryTable" totalsRowShown="0">
  <autoFilter ref="A1:G27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3"/>
    <tableColumn id="6" uniqueName="6" name="APPLICATION" queryTableFieldId="12" dataDxfId="2"/>
    <tableColumn id="7" uniqueName="7" name="OWNER" queryTableFieldId="13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J2856"/>
  <sheetViews>
    <sheetView topLeftCell="A5266" workbookViewId="0">
      <selection activeCell="A4642" sqref="A4642:XFD4642"/>
    </sheetView>
  </sheetViews>
  <sheetFormatPr defaultRowHeight="15" x14ac:dyDescent="0.25"/>
  <cols>
    <col min="1" max="1" width="17.5703125" bestFit="1" customWidth="1"/>
    <col min="2" max="2" width="12" customWidth="1"/>
    <col min="3" max="3" width="10.28515625" customWidth="1"/>
    <col min="4" max="4" width="21.42578125" customWidth="1"/>
    <col min="5" max="5" width="15.85546875" bestFit="1" customWidth="1"/>
    <col min="6" max="6" width="8.42578125" bestFit="1" customWidth="1"/>
    <col min="7" max="7" width="13.7109375" bestFit="1" customWidth="1"/>
    <col min="8" max="8" width="18.42578125" bestFit="1" customWidth="1"/>
    <col min="9" max="9" width="27.85546875" customWidth="1"/>
    <col min="10" max="10" width="2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297</v>
      </c>
      <c r="G1" t="s">
        <v>304</v>
      </c>
      <c r="H1" t="s">
        <v>305</v>
      </c>
      <c r="I1" t="s">
        <v>488</v>
      </c>
      <c r="J1" t="s">
        <v>489</v>
      </c>
    </row>
    <row r="2" spans="1:10" hidden="1" x14ac:dyDescent="0.25">
      <c r="A2" t="s">
        <v>148</v>
      </c>
      <c r="B2" t="s">
        <v>306</v>
      </c>
      <c r="C2" t="s">
        <v>306</v>
      </c>
      <c r="D2" t="s">
        <v>307</v>
      </c>
      <c r="E2" s="2">
        <v>43336.00273148148</v>
      </c>
      <c r="F2" t="s">
        <v>302</v>
      </c>
      <c r="G2" t="s">
        <v>462</v>
      </c>
      <c r="H2" t="s">
        <v>450</v>
      </c>
      <c r="I2" t="s">
        <v>498</v>
      </c>
      <c r="J2" t="s">
        <v>498</v>
      </c>
    </row>
    <row r="3" spans="1:10" hidden="1" x14ac:dyDescent="0.25">
      <c r="A3" t="s">
        <v>241</v>
      </c>
      <c r="B3" t="s">
        <v>6</v>
      </c>
      <c r="C3" t="s">
        <v>7</v>
      </c>
      <c r="D3" t="s">
        <v>10</v>
      </c>
      <c r="E3" s="2">
        <v>43336.00340277778</v>
      </c>
      <c r="F3" t="s">
        <v>302</v>
      </c>
      <c r="G3" t="s">
        <v>462</v>
      </c>
      <c r="H3" t="s">
        <v>451</v>
      </c>
      <c r="I3" t="s">
        <v>498</v>
      </c>
      <c r="J3" t="s">
        <v>498</v>
      </c>
    </row>
    <row r="4" spans="1:10" hidden="1" x14ac:dyDescent="0.25">
      <c r="A4" t="s">
        <v>278</v>
      </c>
      <c r="B4" t="s">
        <v>6</v>
      </c>
      <c r="C4" t="s">
        <v>7</v>
      </c>
      <c r="D4" t="s">
        <v>10</v>
      </c>
      <c r="E4" s="2">
        <v>43336.004108796296</v>
      </c>
      <c r="F4" t="s">
        <v>302</v>
      </c>
      <c r="G4" t="s">
        <v>462</v>
      </c>
      <c r="H4" t="s">
        <v>452</v>
      </c>
      <c r="I4" t="s">
        <v>498</v>
      </c>
      <c r="J4" t="s">
        <v>498</v>
      </c>
    </row>
    <row r="5" spans="1:10" hidden="1" x14ac:dyDescent="0.25">
      <c r="A5" t="s">
        <v>111</v>
      </c>
      <c r="B5" t="s">
        <v>6</v>
      </c>
      <c r="C5" t="s">
        <v>7</v>
      </c>
      <c r="D5" t="s">
        <v>10</v>
      </c>
      <c r="E5" s="2">
        <v>43336.004560185182</v>
      </c>
      <c r="F5" t="s">
        <v>299</v>
      </c>
      <c r="G5" t="s">
        <v>318</v>
      </c>
      <c r="H5" t="s">
        <v>318</v>
      </c>
      <c r="I5" t="s">
        <v>492</v>
      </c>
      <c r="J5" t="s">
        <v>493</v>
      </c>
    </row>
    <row r="6" spans="1:10" hidden="1" x14ac:dyDescent="0.25">
      <c r="A6" t="s">
        <v>267</v>
      </c>
      <c r="B6" t="s">
        <v>6</v>
      </c>
      <c r="C6" t="s">
        <v>7</v>
      </c>
      <c r="D6" t="s">
        <v>10</v>
      </c>
      <c r="E6" s="2">
        <v>43336.004699074074</v>
      </c>
      <c r="F6" t="s">
        <v>302</v>
      </c>
      <c r="G6" t="s">
        <v>462</v>
      </c>
      <c r="H6" t="s">
        <v>318</v>
      </c>
      <c r="I6" t="s">
        <v>498</v>
      </c>
      <c r="J6" t="s">
        <v>498</v>
      </c>
    </row>
    <row r="7" spans="1:10" hidden="1" x14ac:dyDescent="0.25">
      <c r="A7" t="s">
        <v>110</v>
      </c>
      <c r="B7" t="s">
        <v>306</v>
      </c>
      <c r="C7" t="s">
        <v>306</v>
      </c>
      <c r="D7" t="s">
        <v>307</v>
      </c>
      <c r="E7" s="2">
        <v>43336.00509259259</v>
      </c>
      <c r="F7" t="s">
        <v>299</v>
      </c>
      <c r="G7" t="s">
        <v>318</v>
      </c>
      <c r="H7" t="s">
        <v>323</v>
      </c>
      <c r="I7" t="s">
        <v>492</v>
      </c>
      <c r="J7" t="s">
        <v>493</v>
      </c>
    </row>
    <row r="8" spans="1:10" hidden="1" x14ac:dyDescent="0.25">
      <c r="A8" t="s">
        <v>272</v>
      </c>
      <c r="B8" t="s">
        <v>6</v>
      </c>
      <c r="C8" t="s">
        <v>7</v>
      </c>
      <c r="D8" t="s">
        <v>10</v>
      </c>
      <c r="E8" s="2">
        <v>43336.00513888889</v>
      </c>
      <c r="F8" t="s">
        <v>300</v>
      </c>
      <c r="G8" t="s">
        <v>460</v>
      </c>
      <c r="H8" t="s">
        <v>431</v>
      </c>
      <c r="I8" t="s">
        <v>494</v>
      </c>
      <c r="J8" t="s">
        <v>582</v>
      </c>
    </row>
    <row r="9" spans="1:10" hidden="1" x14ac:dyDescent="0.25">
      <c r="A9" t="s">
        <v>240</v>
      </c>
      <c r="B9" t="s">
        <v>6</v>
      </c>
      <c r="C9" t="s">
        <v>7</v>
      </c>
      <c r="D9" t="s">
        <v>27</v>
      </c>
      <c r="E9" s="2">
        <v>43336.005671296298</v>
      </c>
      <c r="F9" t="s">
        <v>302</v>
      </c>
      <c r="G9" t="s">
        <v>462</v>
      </c>
      <c r="H9" t="s">
        <v>323</v>
      </c>
      <c r="I9" t="s">
        <v>498</v>
      </c>
      <c r="J9" t="s">
        <v>498</v>
      </c>
    </row>
    <row r="10" spans="1:10" hidden="1" x14ac:dyDescent="0.25">
      <c r="A10" t="s">
        <v>109</v>
      </c>
      <c r="B10" t="s">
        <v>6</v>
      </c>
      <c r="C10" t="s">
        <v>7</v>
      </c>
      <c r="D10" t="s">
        <v>10</v>
      </c>
      <c r="E10" s="2">
        <v>43336.005740740744</v>
      </c>
      <c r="F10" t="s">
        <v>299</v>
      </c>
      <c r="G10" t="s">
        <v>318</v>
      </c>
      <c r="H10" t="s">
        <v>385</v>
      </c>
      <c r="I10" t="s">
        <v>533</v>
      </c>
      <c r="J10" t="s">
        <v>543</v>
      </c>
    </row>
    <row r="11" spans="1:10" hidden="1" x14ac:dyDescent="0.25">
      <c r="A11" t="s">
        <v>282</v>
      </c>
      <c r="B11" t="s">
        <v>6</v>
      </c>
      <c r="C11" t="s">
        <v>7</v>
      </c>
      <c r="D11" t="s">
        <v>10</v>
      </c>
      <c r="E11" s="2">
        <v>43336.005752314813</v>
      </c>
      <c r="F11" t="s">
        <v>300</v>
      </c>
      <c r="G11" t="s">
        <v>460</v>
      </c>
      <c r="H11" t="s">
        <v>432</v>
      </c>
      <c r="I11" t="s">
        <v>494</v>
      </c>
      <c r="J11" t="s">
        <v>582</v>
      </c>
    </row>
    <row r="12" spans="1:10" hidden="1" x14ac:dyDescent="0.25">
      <c r="A12" t="s">
        <v>239</v>
      </c>
      <c r="B12" t="s">
        <v>6</v>
      </c>
      <c r="C12" t="s">
        <v>7</v>
      </c>
      <c r="D12" t="s">
        <v>10</v>
      </c>
      <c r="E12" s="2">
        <v>43336.006377314814</v>
      </c>
      <c r="F12" t="s">
        <v>302</v>
      </c>
      <c r="G12" t="s">
        <v>462</v>
      </c>
      <c r="H12" t="s">
        <v>385</v>
      </c>
      <c r="I12" t="s">
        <v>498</v>
      </c>
      <c r="J12" t="s">
        <v>498</v>
      </c>
    </row>
    <row r="13" spans="1:10" hidden="1" x14ac:dyDescent="0.25">
      <c r="A13" t="s">
        <v>245</v>
      </c>
      <c r="B13" t="s">
        <v>6</v>
      </c>
      <c r="C13" t="s">
        <v>7</v>
      </c>
      <c r="D13" t="s">
        <v>10</v>
      </c>
      <c r="E13" s="2">
        <v>43336.006388888891</v>
      </c>
      <c r="F13" t="s">
        <v>300</v>
      </c>
      <c r="G13" t="s">
        <v>460</v>
      </c>
      <c r="H13" t="s">
        <v>433</v>
      </c>
      <c r="I13" t="s">
        <v>494</v>
      </c>
      <c r="J13" t="s">
        <v>582</v>
      </c>
    </row>
    <row r="14" spans="1:10" hidden="1" x14ac:dyDescent="0.25">
      <c r="A14" t="s">
        <v>104</v>
      </c>
      <c r="B14" t="s">
        <v>6</v>
      </c>
      <c r="C14" t="s">
        <v>7</v>
      </c>
      <c r="D14" t="s">
        <v>10</v>
      </c>
      <c r="E14" s="2">
        <v>43336.006388888891</v>
      </c>
      <c r="F14" t="s">
        <v>299</v>
      </c>
      <c r="G14" t="s">
        <v>318</v>
      </c>
      <c r="H14" t="s">
        <v>457</v>
      </c>
      <c r="I14" t="s">
        <v>533</v>
      </c>
      <c r="J14" t="s">
        <v>543</v>
      </c>
    </row>
    <row r="15" spans="1:10" hidden="1" x14ac:dyDescent="0.25">
      <c r="A15" t="s">
        <v>172</v>
      </c>
      <c r="B15" t="s">
        <v>6</v>
      </c>
      <c r="C15" t="s">
        <v>7</v>
      </c>
      <c r="D15" t="s">
        <v>10</v>
      </c>
      <c r="E15" s="2">
        <v>43336.006550925929</v>
      </c>
      <c r="F15" t="s">
        <v>585</v>
      </c>
      <c r="G15" t="s">
        <v>318</v>
      </c>
      <c r="H15" t="s">
        <v>318</v>
      </c>
      <c r="I15" t="s">
        <v>494</v>
      </c>
      <c r="J15" t="s">
        <v>501</v>
      </c>
    </row>
    <row r="16" spans="1:10" hidden="1" x14ac:dyDescent="0.25">
      <c r="A16" t="s">
        <v>268</v>
      </c>
      <c r="B16" t="s">
        <v>6</v>
      </c>
      <c r="C16" t="s">
        <v>7</v>
      </c>
      <c r="D16" t="s">
        <v>10</v>
      </c>
      <c r="E16" s="2">
        <v>43336.006979166668</v>
      </c>
      <c r="F16" t="s">
        <v>302</v>
      </c>
      <c r="G16" t="s">
        <v>462</v>
      </c>
      <c r="H16" t="s">
        <v>457</v>
      </c>
      <c r="I16" t="s">
        <v>498</v>
      </c>
      <c r="J16" t="s">
        <v>498</v>
      </c>
    </row>
    <row r="17" spans="1:10" hidden="1" x14ac:dyDescent="0.25">
      <c r="A17" t="s">
        <v>246</v>
      </c>
      <c r="B17" t="s">
        <v>6</v>
      </c>
      <c r="C17" t="s">
        <v>7</v>
      </c>
      <c r="D17" t="s">
        <v>10</v>
      </c>
      <c r="E17" s="2">
        <v>43336.007002314815</v>
      </c>
      <c r="F17" t="s">
        <v>300</v>
      </c>
      <c r="G17" t="s">
        <v>460</v>
      </c>
      <c r="H17" t="s">
        <v>434</v>
      </c>
      <c r="I17" t="s">
        <v>494</v>
      </c>
      <c r="J17" t="s">
        <v>582</v>
      </c>
    </row>
    <row r="18" spans="1:10" hidden="1" x14ac:dyDescent="0.25">
      <c r="A18" t="s">
        <v>98</v>
      </c>
      <c r="B18" t="s">
        <v>6</v>
      </c>
      <c r="C18" t="s">
        <v>7</v>
      </c>
      <c r="D18" t="s">
        <v>476</v>
      </c>
      <c r="E18" s="2">
        <v>43336.007037037038</v>
      </c>
      <c r="F18" t="s">
        <v>299</v>
      </c>
      <c r="G18" t="s">
        <v>318</v>
      </c>
      <c r="H18" t="s">
        <v>458</v>
      </c>
      <c r="I18" t="s">
        <v>545</v>
      </c>
      <c r="J18" t="s">
        <v>497</v>
      </c>
    </row>
    <row r="19" spans="1:10" hidden="1" x14ac:dyDescent="0.25">
      <c r="A19" t="s">
        <v>171</v>
      </c>
      <c r="B19" t="s">
        <v>6</v>
      </c>
      <c r="C19" t="s">
        <v>7</v>
      </c>
      <c r="D19" t="s">
        <v>10</v>
      </c>
      <c r="E19" s="2">
        <v>43336.007164351853</v>
      </c>
      <c r="F19" t="s">
        <v>585</v>
      </c>
      <c r="G19" t="s">
        <v>318</v>
      </c>
      <c r="H19" t="s">
        <v>323</v>
      </c>
      <c r="I19" t="s">
        <v>494</v>
      </c>
      <c r="J19" t="s">
        <v>501</v>
      </c>
    </row>
    <row r="20" spans="1:10" hidden="1" x14ac:dyDescent="0.25">
      <c r="A20" t="s">
        <v>123</v>
      </c>
      <c r="B20" t="s">
        <v>6</v>
      </c>
      <c r="C20" t="s">
        <v>7</v>
      </c>
      <c r="D20" t="s">
        <v>10</v>
      </c>
      <c r="E20" s="2">
        <v>43336.007233796299</v>
      </c>
      <c r="F20" t="s">
        <v>590</v>
      </c>
      <c r="G20" t="s">
        <v>427</v>
      </c>
      <c r="H20" t="s">
        <v>439</v>
      </c>
      <c r="I20" t="s">
        <v>513</v>
      </c>
      <c r="J20" t="s">
        <v>513</v>
      </c>
    </row>
    <row r="21" spans="1:10" hidden="1" x14ac:dyDescent="0.25">
      <c r="A21" t="s">
        <v>269</v>
      </c>
      <c r="B21" t="s">
        <v>6</v>
      </c>
      <c r="C21" t="s">
        <v>7</v>
      </c>
      <c r="D21" t="s">
        <v>10</v>
      </c>
      <c r="E21" s="2">
        <v>43336.007592592592</v>
      </c>
      <c r="F21" t="s">
        <v>302</v>
      </c>
      <c r="G21" t="s">
        <v>462</v>
      </c>
      <c r="H21" t="s">
        <v>458</v>
      </c>
      <c r="I21" t="s">
        <v>498</v>
      </c>
      <c r="J21" t="s">
        <v>498</v>
      </c>
    </row>
    <row r="22" spans="1:10" hidden="1" x14ac:dyDescent="0.25">
      <c r="A22" t="s">
        <v>247</v>
      </c>
      <c r="B22" t="s">
        <v>6</v>
      </c>
      <c r="C22" t="s">
        <v>7</v>
      </c>
      <c r="D22" t="s">
        <v>10</v>
      </c>
      <c r="E22" s="2">
        <v>43336.007615740738</v>
      </c>
      <c r="F22" t="s">
        <v>300</v>
      </c>
      <c r="G22" t="s">
        <v>460</v>
      </c>
      <c r="H22" t="s">
        <v>435</v>
      </c>
      <c r="I22" t="s">
        <v>494</v>
      </c>
      <c r="J22" t="s">
        <v>582</v>
      </c>
    </row>
    <row r="23" spans="1:10" hidden="1" x14ac:dyDescent="0.25">
      <c r="A23" t="s">
        <v>150</v>
      </c>
      <c r="B23" t="s">
        <v>6</v>
      </c>
      <c r="C23" t="s">
        <v>7</v>
      </c>
      <c r="D23" t="s">
        <v>476</v>
      </c>
      <c r="E23" s="2">
        <v>43336.007650462961</v>
      </c>
      <c r="F23" t="s">
        <v>299</v>
      </c>
      <c r="G23" t="s">
        <v>318</v>
      </c>
      <c r="H23" t="s">
        <v>459</v>
      </c>
      <c r="I23" t="s">
        <v>545</v>
      </c>
      <c r="J23" t="s">
        <v>497</v>
      </c>
    </row>
    <row r="24" spans="1:10" hidden="1" x14ac:dyDescent="0.25">
      <c r="A24" t="s">
        <v>208</v>
      </c>
      <c r="B24" t="s">
        <v>306</v>
      </c>
      <c r="C24" t="s">
        <v>306</v>
      </c>
      <c r="D24" t="s">
        <v>307</v>
      </c>
      <c r="E24" s="2">
        <v>43336.0078125</v>
      </c>
      <c r="F24" t="s">
        <v>591</v>
      </c>
      <c r="G24" t="s">
        <v>318</v>
      </c>
      <c r="H24" t="s">
        <v>318</v>
      </c>
      <c r="I24" t="s">
        <v>497</v>
      </c>
      <c r="J24" t="s">
        <v>497</v>
      </c>
    </row>
    <row r="25" spans="1:10" hidden="1" x14ac:dyDescent="0.25">
      <c r="A25" t="s">
        <v>41</v>
      </c>
      <c r="B25" t="s">
        <v>6</v>
      </c>
      <c r="C25" t="s">
        <v>7</v>
      </c>
      <c r="D25" t="s">
        <v>10</v>
      </c>
      <c r="E25" s="2">
        <v>43336.007893518516</v>
      </c>
      <c r="F25" t="s">
        <v>590</v>
      </c>
      <c r="G25" t="s">
        <v>427</v>
      </c>
      <c r="H25" t="s">
        <v>440</v>
      </c>
      <c r="I25" t="s">
        <v>513</v>
      </c>
      <c r="J25" t="s">
        <v>513</v>
      </c>
    </row>
    <row r="26" spans="1:10" hidden="1" x14ac:dyDescent="0.25">
      <c r="A26" t="s">
        <v>207</v>
      </c>
      <c r="B26" t="s">
        <v>6</v>
      </c>
      <c r="C26" t="s">
        <v>7</v>
      </c>
      <c r="D26" t="s">
        <v>27</v>
      </c>
      <c r="E26" s="2">
        <v>43336.008067129631</v>
      </c>
      <c r="F26" t="s">
        <v>585</v>
      </c>
      <c r="G26" t="s">
        <v>318</v>
      </c>
      <c r="H26" t="s">
        <v>385</v>
      </c>
      <c r="I26" t="s">
        <v>494</v>
      </c>
      <c r="J26" t="s">
        <v>501</v>
      </c>
    </row>
    <row r="27" spans="1:10" hidden="1" x14ac:dyDescent="0.25">
      <c r="A27" t="s">
        <v>270</v>
      </c>
      <c r="B27" t="s">
        <v>6</v>
      </c>
      <c r="C27" t="s">
        <v>7</v>
      </c>
      <c r="D27" t="s">
        <v>10</v>
      </c>
      <c r="E27" s="2">
        <v>43336.008194444446</v>
      </c>
      <c r="F27" t="s">
        <v>302</v>
      </c>
      <c r="G27" t="s">
        <v>462</v>
      </c>
      <c r="H27" t="s">
        <v>459</v>
      </c>
      <c r="I27" t="s">
        <v>498</v>
      </c>
      <c r="J27" t="s">
        <v>498</v>
      </c>
    </row>
    <row r="28" spans="1:10" hidden="1" x14ac:dyDescent="0.25">
      <c r="A28" t="s">
        <v>119</v>
      </c>
      <c r="B28" t="s">
        <v>6</v>
      </c>
      <c r="C28" t="s">
        <v>7</v>
      </c>
      <c r="D28" t="s">
        <v>10</v>
      </c>
      <c r="E28" s="2">
        <v>43336.008344907408</v>
      </c>
      <c r="F28" t="s">
        <v>299</v>
      </c>
      <c r="G28" t="s">
        <v>318</v>
      </c>
      <c r="H28" t="s">
        <v>460</v>
      </c>
      <c r="I28" t="s">
        <v>545</v>
      </c>
      <c r="J28" t="s">
        <v>497</v>
      </c>
    </row>
    <row r="29" spans="1:10" hidden="1" x14ac:dyDescent="0.25">
      <c r="A29" t="s">
        <v>248</v>
      </c>
      <c r="B29" t="s">
        <v>6</v>
      </c>
      <c r="C29" t="s">
        <v>7</v>
      </c>
      <c r="D29" t="s">
        <v>10</v>
      </c>
      <c r="E29" s="2">
        <v>43336.008356481485</v>
      </c>
      <c r="F29" t="s">
        <v>300</v>
      </c>
      <c r="G29" t="s">
        <v>460</v>
      </c>
      <c r="H29" t="s">
        <v>436</v>
      </c>
      <c r="I29" t="s">
        <v>494</v>
      </c>
      <c r="J29" t="s">
        <v>582</v>
      </c>
    </row>
    <row r="30" spans="1:10" hidden="1" x14ac:dyDescent="0.25">
      <c r="A30" t="s">
        <v>97</v>
      </c>
      <c r="B30" t="s">
        <v>6</v>
      </c>
      <c r="C30" t="s">
        <v>7</v>
      </c>
      <c r="D30" t="s">
        <v>476</v>
      </c>
      <c r="E30" s="2">
        <v>43336.008402777778</v>
      </c>
      <c r="F30" t="s">
        <v>591</v>
      </c>
      <c r="G30" t="s">
        <v>318</v>
      </c>
      <c r="H30" t="s">
        <v>323</v>
      </c>
      <c r="I30" t="s">
        <v>497</v>
      </c>
      <c r="J30" t="s">
        <v>497</v>
      </c>
    </row>
    <row r="31" spans="1:10" hidden="1" x14ac:dyDescent="0.25">
      <c r="A31" t="s">
        <v>76</v>
      </c>
      <c r="B31" t="s">
        <v>6</v>
      </c>
      <c r="C31" t="s">
        <v>7</v>
      </c>
      <c r="D31" t="s">
        <v>476</v>
      </c>
      <c r="E31" s="2">
        <v>43336.008506944447</v>
      </c>
      <c r="F31" t="s">
        <v>590</v>
      </c>
      <c r="G31" t="s">
        <v>427</v>
      </c>
      <c r="H31" t="s">
        <v>441</v>
      </c>
      <c r="I31" t="s">
        <v>507</v>
      </c>
      <c r="J31" t="s">
        <v>507</v>
      </c>
    </row>
    <row r="32" spans="1:10" hidden="1" x14ac:dyDescent="0.25">
      <c r="A32" t="s">
        <v>389</v>
      </c>
      <c r="B32" t="s">
        <v>6</v>
      </c>
      <c r="C32" t="s">
        <v>7</v>
      </c>
      <c r="D32" t="s">
        <v>10</v>
      </c>
      <c r="E32" s="2">
        <v>43336.008622685185</v>
      </c>
      <c r="F32" t="s">
        <v>586</v>
      </c>
      <c r="G32" t="s">
        <v>318</v>
      </c>
      <c r="H32" t="s">
        <v>318</v>
      </c>
      <c r="I32" t="s">
        <v>490</v>
      </c>
      <c r="J32" t="s">
        <v>497</v>
      </c>
    </row>
    <row r="33" spans="1:10" hidden="1" x14ac:dyDescent="0.25">
      <c r="A33" t="s">
        <v>137</v>
      </c>
      <c r="B33" t="s">
        <v>6</v>
      </c>
      <c r="C33" t="s">
        <v>7</v>
      </c>
      <c r="D33" t="s">
        <v>10</v>
      </c>
      <c r="E33" s="2">
        <v>43336.008692129632</v>
      </c>
      <c r="F33" t="s">
        <v>585</v>
      </c>
      <c r="G33" t="s">
        <v>318</v>
      </c>
      <c r="H33" t="s">
        <v>457</v>
      </c>
      <c r="I33" t="s">
        <v>494</v>
      </c>
      <c r="J33" t="s">
        <v>501</v>
      </c>
    </row>
    <row r="34" spans="1:10" hidden="1" x14ac:dyDescent="0.25">
      <c r="A34" t="s">
        <v>237</v>
      </c>
      <c r="B34" t="s">
        <v>6</v>
      </c>
      <c r="C34" t="s">
        <v>7</v>
      </c>
      <c r="D34" t="s">
        <v>13</v>
      </c>
      <c r="E34" s="2">
        <v>43336.008912037039</v>
      </c>
      <c r="F34" t="s">
        <v>302</v>
      </c>
      <c r="G34" t="s">
        <v>462</v>
      </c>
      <c r="H34" t="s">
        <v>460</v>
      </c>
      <c r="I34" t="s">
        <v>498</v>
      </c>
      <c r="J34" t="s">
        <v>498</v>
      </c>
    </row>
    <row r="35" spans="1:10" hidden="1" x14ac:dyDescent="0.25">
      <c r="A35" t="s">
        <v>105</v>
      </c>
      <c r="B35" t="s">
        <v>6</v>
      </c>
      <c r="C35" t="s">
        <v>7</v>
      </c>
      <c r="D35" t="s">
        <v>13</v>
      </c>
      <c r="E35" s="2">
        <v>43336.009120370371</v>
      </c>
      <c r="F35" t="s">
        <v>299</v>
      </c>
      <c r="G35" t="s">
        <v>318</v>
      </c>
      <c r="H35" t="s">
        <v>461</v>
      </c>
      <c r="I35" t="s">
        <v>545</v>
      </c>
      <c r="J35" t="s">
        <v>497</v>
      </c>
    </row>
    <row r="36" spans="1:10" hidden="1" x14ac:dyDescent="0.25">
      <c r="A36" t="s">
        <v>249</v>
      </c>
      <c r="B36" t="s">
        <v>6</v>
      </c>
      <c r="C36" t="s">
        <v>7</v>
      </c>
      <c r="D36" t="s">
        <v>27</v>
      </c>
      <c r="E36" s="2">
        <v>43336.009143518517</v>
      </c>
      <c r="F36" t="s">
        <v>300</v>
      </c>
      <c r="G36" t="s">
        <v>460</v>
      </c>
      <c r="H36" t="s">
        <v>437</v>
      </c>
      <c r="I36" t="s">
        <v>494</v>
      </c>
      <c r="J36" t="s">
        <v>583</v>
      </c>
    </row>
    <row r="37" spans="1:10" hidden="1" x14ac:dyDescent="0.25">
      <c r="A37" t="s">
        <v>75</v>
      </c>
      <c r="B37" t="s">
        <v>6</v>
      </c>
      <c r="C37" t="s">
        <v>7</v>
      </c>
      <c r="D37" t="s">
        <v>10</v>
      </c>
      <c r="E37" s="2">
        <v>43336.009143518517</v>
      </c>
      <c r="F37" t="s">
        <v>590</v>
      </c>
      <c r="G37" t="s">
        <v>427</v>
      </c>
      <c r="H37" t="s">
        <v>442</v>
      </c>
      <c r="I37" t="s">
        <v>504</v>
      </c>
      <c r="J37" t="s">
        <v>504</v>
      </c>
    </row>
    <row r="38" spans="1:10" hidden="1" x14ac:dyDescent="0.25">
      <c r="A38" t="s">
        <v>205</v>
      </c>
      <c r="B38" t="s">
        <v>6</v>
      </c>
      <c r="C38" t="s">
        <v>7</v>
      </c>
      <c r="D38" t="s">
        <v>13</v>
      </c>
      <c r="E38" s="2">
        <v>43336.009166666663</v>
      </c>
      <c r="F38" t="s">
        <v>591</v>
      </c>
      <c r="G38" t="s">
        <v>318</v>
      </c>
      <c r="H38" t="s">
        <v>385</v>
      </c>
      <c r="I38" t="s">
        <v>497</v>
      </c>
      <c r="J38" t="s">
        <v>497</v>
      </c>
    </row>
    <row r="39" spans="1:10" hidden="1" x14ac:dyDescent="0.25">
      <c r="A39" t="s">
        <v>397</v>
      </c>
      <c r="B39" t="s">
        <v>6</v>
      </c>
      <c r="C39" t="s">
        <v>7</v>
      </c>
      <c r="D39" t="s">
        <v>10</v>
      </c>
      <c r="E39" s="2">
        <v>43336.00922453704</v>
      </c>
      <c r="F39" t="s">
        <v>586</v>
      </c>
      <c r="G39" t="s">
        <v>318</v>
      </c>
      <c r="H39" t="s">
        <v>323</v>
      </c>
      <c r="I39" t="s">
        <v>490</v>
      </c>
      <c r="J39" t="s">
        <v>491</v>
      </c>
    </row>
    <row r="40" spans="1:10" hidden="1" x14ac:dyDescent="0.25">
      <c r="A40" t="s">
        <v>143</v>
      </c>
      <c r="B40" t="s">
        <v>6</v>
      </c>
      <c r="C40" t="s">
        <v>7</v>
      </c>
      <c r="D40" t="s">
        <v>10</v>
      </c>
      <c r="E40" s="2">
        <v>43336.009305555555</v>
      </c>
      <c r="F40" t="s">
        <v>585</v>
      </c>
      <c r="G40" t="s">
        <v>318</v>
      </c>
      <c r="H40" t="s">
        <v>458</v>
      </c>
      <c r="I40" t="s">
        <v>494</v>
      </c>
      <c r="J40" t="s">
        <v>501</v>
      </c>
    </row>
    <row r="41" spans="1:10" hidden="1" x14ac:dyDescent="0.25">
      <c r="A41" t="s">
        <v>348</v>
      </c>
      <c r="B41" t="s">
        <v>6</v>
      </c>
      <c r="C41" t="s">
        <v>7</v>
      </c>
      <c r="D41" t="s">
        <v>10</v>
      </c>
      <c r="E41" s="2">
        <v>43336.009328703702</v>
      </c>
      <c r="F41" t="s">
        <v>587</v>
      </c>
      <c r="G41" t="s">
        <v>385</v>
      </c>
      <c r="H41" t="s">
        <v>436</v>
      </c>
      <c r="I41" t="s">
        <v>573</v>
      </c>
      <c r="J41" t="s">
        <v>491</v>
      </c>
    </row>
    <row r="42" spans="1:10" hidden="1" x14ac:dyDescent="0.25">
      <c r="A42" t="s">
        <v>232</v>
      </c>
      <c r="B42" t="s">
        <v>6</v>
      </c>
      <c r="C42" t="s">
        <v>7</v>
      </c>
      <c r="D42" t="s">
        <v>13</v>
      </c>
      <c r="E42" s="2">
        <v>43336.009629629632</v>
      </c>
      <c r="F42" t="s">
        <v>302</v>
      </c>
      <c r="G42" t="s">
        <v>462</v>
      </c>
      <c r="H42" t="s">
        <v>461</v>
      </c>
      <c r="I42" t="s">
        <v>498</v>
      </c>
      <c r="J42" t="s">
        <v>498</v>
      </c>
    </row>
    <row r="43" spans="1:10" hidden="1" x14ac:dyDescent="0.25">
      <c r="A43" t="s">
        <v>169</v>
      </c>
      <c r="B43" t="s">
        <v>6</v>
      </c>
      <c r="C43" t="s">
        <v>7</v>
      </c>
      <c r="D43" t="s">
        <v>10</v>
      </c>
      <c r="E43" s="2">
        <v>43336.009756944448</v>
      </c>
      <c r="F43" t="s">
        <v>590</v>
      </c>
      <c r="G43" t="s">
        <v>427</v>
      </c>
      <c r="H43" t="s">
        <v>443</v>
      </c>
      <c r="I43" t="s">
        <v>498</v>
      </c>
      <c r="J43" t="s">
        <v>498</v>
      </c>
    </row>
    <row r="44" spans="1:10" hidden="1" x14ac:dyDescent="0.25">
      <c r="A44" t="s">
        <v>117</v>
      </c>
      <c r="B44" t="s">
        <v>6</v>
      </c>
      <c r="C44" t="s">
        <v>7</v>
      </c>
      <c r="D44" t="s">
        <v>10</v>
      </c>
      <c r="E44" s="2">
        <v>43336.009768518517</v>
      </c>
      <c r="F44" t="s">
        <v>299</v>
      </c>
      <c r="G44" t="s">
        <v>318</v>
      </c>
      <c r="H44" t="s">
        <v>462</v>
      </c>
      <c r="I44" t="s">
        <v>492</v>
      </c>
      <c r="J44" t="s">
        <v>547</v>
      </c>
    </row>
    <row r="45" spans="1:10" hidden="1" x14ac:dyDescent="0.25">
      <c r="A45" t="s">
        <v>250</v>
      </c>
      <c r="B45" t="s">
        <v>6</v>
      </c>
      <c r="C45" t="s">
        <v>7</v>
      </c>
      <c r="D45" t="s">
        <v>10</v>
      </c>
      <c r="E45" s="2">
        <v>43336.009768518517</v>
      </c>
      <c r="F45" t="s">
        <v>300</v>
      </c>
      <c r="G45" t="s">
        <v>460</v>
      </c>
      <c r="H45" t="s">
        <v>438</v>
      </c>
      <c r="I45" t="s">
        <v>494</v>
      </c>
      <c r="J45" t="s">
        <v>583</v>
      </c>
    </row>
    <row r="46" spans="1:10" hidden="1" x14ac:dyDescent="0.25">
      <c r="A46" t="s">
        <v>88</v>
      </c>
      <c r="B46" t="s">
        <v>6</v>
      </c>
      <c r="C46" t="s">
        <v>7</v>
      </c>
      <c r="D46" t="s">
        <v>476</v>
      </c>
      <c r="E46" s="2">
        <v>43336.009791666664</v>
      </c>
      <c r="F46" t="s">
        <v>591</v>
      </c>
      <c r="G46" t="s">
        <v>318</v>
      </c>
      <c r="H46" t="s">
        <v>457</v>
      </c>
      <c r="I46" t="s">
        <v>497</v>
      </c>
      <c r="J46" t="s">
        <v>497</v>
      </c>
    </row>
    <row r="47" spans="1:10" hidden="1" x14ac:dyDescent="0.25">
      <c r="A47" t="s">
        <v>398</v>
      </c>
      <c r="B47" t="s">
        <v>6</v>
      </c>
      <c r="C47" t="s">
        <v>7</v>
      </c>
      <c r="D47" t="s">
        <v>10</v>
      </c>
      <c r="E47" s="2">
        <v>43336.009872685187</v>
      </c>
      <c r="F47" t="s">
        <v>586</v>
      </c>
      <c r="G47" t="s">
        <v>318</v>
      </c>
      <c r="H47" t="s">
        <v>385</v>
      </c>
      <c r="I47" t="s">
        <v>490</v>
      </c>
      <c r="J47" t="s">
        <v>491</v>
      </c>
    </row>
    <row r="48" spans="1:10" hidden="1" x14ac:dyDescent="0.25">
      <c r="A48" t="s">
        <v>331</v>
      </c>
      <c r="B48" t="s">
        <v>6</v>
      </c>
      <c r="C48" t="s">
        <v>7</v>
      </c>
      <c r="D48" t="s">
        <v>10</v>
      </c>
      <c r="E48" s="2">
        <v>43336.010069444441</v>
      </c>
      <c r="F48" t="s">
        <v>587</v>
      </c>
      <c r="G48" t="s">
        <v>385</v>
      </c>
      <c r="H48" t="s">
        <v>437</v>
      </c>
      <c r="I48" t="s">
        <v>574</v>
      </c>
      <c r="J48" t="s">
        <v>491</v>
      </c>
    </row>
    <row r="49" spans="1:10" hidden="1" x14ac:dyDescent="0.25">
      <c r="A49" t="s">
        <v>206</v>
      </c>
      <c r="B49" t="s">
        <v>6</v>
      </c>
      <c r="C49" t="s">
        <v>7</v>
      </c>
      <c r="D49" t="s">
        <v>10</v>
      </c>
      <c r="E49" s="2">
        <v>43336.010069444441</v>
      </c>
      <c r="F49" t="s">
        <v>585</v>
      </c>
      <c r="G49" t="s">
        <v>318</v>
      </c>
      <c r="H49" t="s">
        <v>459</v>
      </c>
      <c r="I49" t="s">
        <v>494</v>
      </c>
      <c r="J49" t="s">
        <v>501</v>
      </c>
    </row>
    <row r="50" spans="1:10" hidden="1" x14ac:dyDescent="0.25">
      <c r="A50" t="s">
        <v>271</v>
      </c>
      <c r="B50" t="s">
        <v>6</v>
      </c>
      <c r="C50" t="s">
        <v>7</v>
      </c>
      <c r="D50" t="s">
        <v>10</v>
      </c>
      <c r="E50" s="2">
        <v>43336.01021990741</v>
      </c>
      <c r="F50" t="s">
        <v>302</v>
      </c>
      <c r="G50" t="s">
        <v>462</v>
      </c>
      <c r="H50" t="s">
        <v>462</v>
      </c>
      <c r="I50" t="s">
        <v>498</v>
      </c>
      <c r="J50" t="s">
        <v>498</v>
      </c>
    </row>
    <row r="51" spans="1:10" hidden="1" x14ac:dyDescent="0.25">
      <c r="A51" t="s">
        <v>251</v>
      </c>
      <c r="B51" t="s">
        <v>6</v>
      </c>
      <c r="C51" t="s">
        <v>7</v>
      </c>
      <c r="D51" t="s">
        <v>10</v>
      </c>
      <c r="E51" s="2">
        <v>43336.010381944441</v>
      </c>
      <c r="F51" t="s">
        <v>300</v>
      </c>
      <c r="G51" t="s">
        <v>460</v>
      </c>
      <c r="H51" t="s">
        <v>439</v>
      </c>
      <c r="I51" t="s">
        <v>494</v>
      </c>
      <c r="J51" t="s">
        <v>583</v>
      </c>
    </row>
    <row r="52" spans="1:10" hidden="1" x14ac:dyDescent="0.25">
      <c r="A52" t="s">
        <v>199</v>
      </c>
      <c r="B52" t="s">
        <v>6</v>
      </c>
      <c r="C52" t="s">
        <v>7</v>
      </c>
      <c r="D52" t="s">
        <v>10</v>
      </c>
      <c r="E52" s="2">
        <v>43336.010381944441</v>
      </c>
      <c r="F52" t="s">
        <v>590</v>
      </c>
      <c r="G52" t="s">
        <v>427</v>
      </c>
      <c r="H52" t="s">
        <v>444</v>
      </c>
      <c r="I52" t="s">
        <v>498</v>
      </c>
      <c r="J52" t="s">
        <v>498</v>
      </c>
    </row>
    <row r="53" spans="1:10" hidden="1" x14ac:dyDescent="0.25">
      <c r="A53" t="s">
        <v>151</v>
      </c>
      <c r="B53" t="s">
        <v>6</v>
      </c>
      <c r="C53" t="s">
        <v>7</v>
      </c>
      <c r="D53" t="s">
        <v>10</v>
      </c>
      <c r="E53" s="2">
        <v>43336.010393518518</v>
      </c>
      <c r="F53" t="s">
        <v>299</v>
      </c>
      <c r="G53" t="s">
        <v>318</v>
      </c>
      <c r="H53" t="s">
        <v>453</v>
      </c>
      <c r="I53" t="s">
        <v>492</v>
      </c>
      <c r="J53" t="s">
        <v>546</v>
      </c>
    </row>
    <row r="54" spans="1:10" hidden="1" x14ac:dyDescent="0.25">
      <c r="A54" t="s">
        <v>399</v>
      </c>
      <c r="B54" t="s">
        <v>6</v>
      </c>
      <c r="C54" t="s">
        <v>7</v>
      </c>
      <c r="D54" t="s">
        <v>10</v>
      </c>
      <c r="E54" s="2">
        <v>43336.010474537034</v>
      </c>
      <c r="F54" t="s">
        <v>586</v>
      </c>
      <c r="G54" t="s">
        <v>318</v>
      </c>
      <c r="H54" t="s">
        <v>457</v>
      </c>
      <c r="I54" t="s">
        <v>490</v>
      </c>
      <c r="J54" t="s">
        <v>491</v>
      </c>
    </row>
    <row r="55" spans="1:10" hidden="1" x14ac:dyDescent="0.25">
      <c r="A55" t="s">
        <v>96</v>
      </c>
      <c r="B55" t="s">
        <v>6</v>
      </c>
      <c r="C55" t="s">
        <v>7</v>
      </c>
      <c r="D55" t="s">
        <v>13</v>
      </c>
      <c r="E55" s="2">
        <v>43336.010555555556</v>
      </c>
      <c r="F55" t="s">
        <v>591</v>
      </c>
      <c r="G55" t="s">
        <v>318</v>
      </c>
      <c r="H55" t="s">
        <v>458</v>
      </c>
      <c r="I55" t="s">
        <v>497</v>
      </c>
      <c r="J55" t="s">
        <v>497</v>
      </c>
    </row>
    <row r="56" spans="1:10" hidden="1" x14ac:dyDescent="0.25">
      <c r="A56" t="s">
        <v>48</v>
      </c>
      <c r="B56" t="s">
        <v>6</v>
      </c>
      <c r="C56" t="s">
        <v>7</v>
      </c>
      <c r="D56" t="s">
        <v>10</v>
      </c>
      <c r="E56" s="2">
        <v>43336.010671296295</v>
      </c>
      <c r="F56" t="s">
        <v>585</v>
      </c>
      <c r="G56" t="s">
        <v>318</v>
      </c>
      <c r="H56" t="s">
        <v>460</v>
      </c>
      <c r="I56" t="s">
        <v>494</v>
      </c>
      <c r="J56" t="s">
        <v>501</v>
      </c>
    </row>
    <row r="57" spans="1:10" hidden="1" x14ac:dyDescent="0.25">
      <c r="A57" t="s">
        <v>349</v>
      </c>
      <c r="B57" t="s">
        <v>6</v>
      </c>
      <c r="C57" t="s">
        <v>7</v>
      </c>
      <c r="D57" t="s">
        <v>10</v>
      </c>
      <c r="E57" s="2">
        <v>43336.010671296295</v>
      </c>
      <c r="F57" t="s">
        <v>587</v>
      </c>
      <c r="G57" t="s">
        <v>385</v>
      </c>
      <c r="H57" t="s">
        <v>438</v>
      </c>
      <c r="I57" t="s">
        <v>575</v>
      </c>
      <c r="J57" t="s">
        <v>491</v>
      </c>
    </row>
    <row r="58" spans="1:10" hidden="1" x14ac:dyDescent="0.25">
      <c r="A58" t="s">
        <v>231</v>
      </c>
      <c r="B58" t="s">
        <v>6</v>
      </c>
      <c r="C58" t="s">
        <v>7</v>
      </c>
      <c r="D58" t="s">
        <v>476</v>
      </c>
      <c r="E58" s="2">
        <v>43336.010787037034</v>
      </c>
      <c r="F58" t="s">
        <v>302</v>
      </c>
      <c r="G58" t="s">
        <v>462</v>
      </c>
      <c r="H58" t="s">
        <v>453</v>
      </c>
      <c r="I58" t="s">
        <v>497</v>
      </c>
      <c r="J58" t="s">
        <v>497</v>
      </c>
    </row>
    <row r="59" spans="1:10" hidden="1" x14ac:dyDescent="0.25">
      <c r="A59" t="s">
        <v>252</v>
      </c>
      <c r="B59" t="s">
        <v>6</v>
      </c>
      <c r="C59" t="s">
        <v>7</v>
      </c>
      <c r="D59" t="s">
        <v>10</v>
      </c>
      <c r="E59" s="2">
        <v>43336.011006944442</v>
      </c>
      <c r="F59" t="s">
        <v>300</v>
      </c>
      <c r="G59" t="s">
        <v>460</v>
      </c>
      <c r="H59" t="s">
        <v>440</v>
      </c>
      <c r="I59" t="s">
        <v>494</v>
      </c>
      <c r="J59" t="s">
        <v>583</v>
      </c>
    </row>
    <row r="60" spans="1:10" hidden="1" x14ac:dyDescent="0.25">
      <c r="A60" t="s">
        <v>108</v>
      </c>
      <c r="B60" t="s">
        <v>6</v>
      </c>
      <c r="C60" t="s">
        <v>7</v>
      </c>
      <c r="D60" t="s">
        <v>10</v>
      </c>
      <c r="E60" s="2">
        <v>43336.011041666665</v>
      </c>
      <c r="F60" t="s">
        <v>299</v>
      </c>
      <c r="G60" t="s">
        <v>318</v>
      </c>
      <c r="H60" t="s">
        <v>454</v>
      </c>
      <c r="I60" t="s">
        <v>492</v>
      </c>
      <c r="J60" t="s">
        <v>546</v>
      </c>
    </row>
    <row r="61" spans="1:10" hidden="1" x14ac:dyDescent="0.25">
      <c r="A61" t="s">
        <v>404</v>
      </c>
      <c r="B61" t="s">
        <v>6</v>
      </c>
      <c r="C61" t="s">
        <v>7</v>
      </c>
      <c r="D61" t="s">
        <v>10</v>
      </c>
      <c r="E61" s="2">
        <v>43336.011087962965</v>
      </c>
      <c r="F61" t="s">
        <v>586</v>
      </c>
      <c r="G61" t="s">
        <v>318</v>
      </c>
      <c r="H61" t="s">
        <v>458</v>
      </c>
      <c r="I61" t="s">
        <v>490</v>
      </c>
      <c r="J61" t="s">
        <v>491</v>
      </c>
    </row>
    <row r="62" spans="1:10" hidden="1" x14ac:dyDescent="0.25">
      <c r="A62" t="s">
        <v>74</v>
      </c>
      <c r="B62" t="s">
        <v>6</v>
      </c>
      <c r="C62" t="s">
        <v>7</v>
      </c>
      <c r="D62" t="s">
        <v>27</v>
      </c>
      <c r="E62" s="2">
        <v>43336.01116898148</v>
      </c>
      <c r="F62" t="s">
        <v>590</v>
      </c>
      <c r="G62" t="s">
        <v>427</v>
      </c>
      <c r="H62" t="s">
        <v>445</v>
      </c>
      <c r="I62" t="s">
        <v>498</v>
      </c>
      <c r="J62" t="s">
        <v>498</v>
      </c>
    </row>
    <row r="63" spans="1:10" hidden="1" x14ac:dyDescent="0.25">
      <c r="A63" t="s">
        <v>191</v>
      </c>
      <c r="B63" t="s">
        <v>6</v>
      </c>
      <c r="C63" t="s">
        <v>7</v>
      </c>
      <c r="D63" t="s">
        <v>10</v>
      </c>
      <c r="E63" s="2">
        <v>43336.011307870373</v>
      </c>
      <c r="F63" t="s">
        <v>585</v>
      </c>
      <c r="G63" t="s">
        <v>318</v>
      </c>
      <c r="H63" t="s">
        <v>461</v>
      </c>
      <c r="I63" t="s">
        <v>494</v>
      </c>
      <c r="J63" t="s">
        <v>501</v>
      </c>
    </row>
    <row r="64" spans="1:10" hidden="1" x14ac:dyDescent="0.25">
      <c r="A64" t="s">
        <v>72</v>
      </c>
      <c r="B64" t="s">
        <v>6</v>
      </c>
      <c r="C64" t="s">
        <v>7</v>
      </c>
      <c r="D64" t="s">
        <v>13</v>
      </c>
      <c r="E64" s="2">
        <v>43336.011331018519</v>
      </c>
      <c r="F64" t="s">
        <v>591</v>
      </c>
      <c r="G64" t="s">
        <v>318</v>
      </c>
      <c r="H64" t="s">
        <v>459</v>
      </c>
      <c r="I64" t="s">
        <v>497</v>
      </c>
      <c r="J64" t="s">
        <v>497</v>
      </c>
    </row>
    <row r="65" spans="1:10" hidden="1" x14ac:dyDescent="0.25">
      <c r="A65" t="s">
        <v>201</v>
      </c>
      <c r="B65" t="s">
        <v>6</v>
      </c>
      <c r="C65" t="s">
        <v>7</v>
      </c>
      <c r="D65" t="s">
        <v>476</v>
      </c>
      <c r="E65" s="2">
        <v>43336.011388888888</v>
      </c>
      <c r="F65" t="s">
        <v>302</v>
      </c>
      <c r="G65" t="s">
        <v>462</v>
      </c>
      <c r="H65" t="s">
        <v>454</v>
      </c>
      <c r="I65" t="s">
        <v>497</v>
      </c>
      <c r="J65" t="s">
        <v>497</v>
      </c>
    </row>
    <row r="66" spans="1:10" hidden="1" x14ac:dyDescent="0.25">
      <c r="A66" t="s">
        <v>332</v>
      </c>
      <c r="B66" t="s">
        <v>6</v>
      </c>
      <c r="C66" t="s">
        <v>7</v>
      </c>
      <c r="D66" t="s">
        <v>27</v>
      </c>
      <c r="E66" s="2">
        <v>43336.011446759258</v>
      </c>
      <c r="F66" t="s">
        <v>587</v>
      </c>
      <c r="G66" t="s">
        <v>385</v>
      </c>
      <c r="H66" t="s">
        <v>439</v>
      </c>
      <c r="I66" t="s">
        <v>577</v>
      </c>
      <c r="J66" t="s">
        <v>491</v>
      </c>
    </row>
    <row r="67" spans="1:10" hidden="1" x14ac:dyDescent="0.25">
      <c r="A67" t="s">
        <v>253</v>
      </c>
      <c r="B67" t="s">
        <v>6</v>
      </c>
      <c r="C67" t="s">
        <v>7</v>
      </c>
      <c r="D67" t="s">
        <v>10</v>
      </c>
      <c r="E67" s="2">
        <v>43336.011620370373</v>
      </c>
      <c r="F67" t="s">
        <v>300</v>
      </c>
      <c r="G67" t="s">
        <v>460</v>
      </c>
      <c r="H67" t="s">
        <v>441</v>
      </c>
      <c r="I67" t="s">
        <v>494</v>
      </c>
      <c r="J67" t="s">
        <v>583</v>
      </c>
    </row>
    <row r="68" spans="1:10" hidden="1" x14ac:dyDescent="0.25">
      <c r="A68" t="s">
        <v>101</v>
      </c>
      <c r="B68" t="s">
        <v>6</v>
      </c>
      <c r="C68" t="s">
        <v>7</v>
      </c>
      <c r="D68" t="s">
        <v>10</v>
      </c>
      <c r="E68" s="2">
        <v>43336.011678240742</v>
      </c>
      <c r="F68" t="s">
        <v>299</v>
      </c>
      <c r="G68" t="s">
        <v>318</v>
      </c>
      <c r="H68" t="s">
        <v>455</v>
      </c>
      <c r="I68" t="s">
        <v>492</v>
      </c>
      <c r="J68" t="s">
        <v>546</v>
      </c>
    </row>
    <row r="69" spans="1:10" hidden="1" x14ac:dyDescent="0.25">
      <c r="A69" t="s">
        <v>405</v>
      </c>
      <c r="B69" t="s">
        <v>6</v>
      </c>
      <c r="C69" t="s">
        <v>7</v>
      </c>
      <c r="D69" t="s">
        <v>10</v>
      </c>
      <c r="E69" s="2">
        <v>43336.011701388888</v>
      </c>
      <c r="F69" t="s">
        <v>586</v>
      </c>
      <c r="G69" t="s">
        <v>318</v>
      </c>
      <c r="H69" t="s">
        <v>459</v>
      </c>
      <c r="I69" t="s">
        <v>490</v>
      </c>
      <c r="J69" t="s">
        <v>491</v>
      </c>
    </row>
    <row r="70" spans="1:10" hidden="1" x14ac:dyDescent="0.25">
      <c r="A70" t="s">
        <v>47</v>
      </c>
      <c r="B70" t="s">
        <v>6</v>
      </c>
      <c r="C70" t="s">
        <v>7</v>
      </c>
      <c r="D70" t="s">
        <v>10</v>
      </c>
      <c r="E70" s="2">
        <v>43336.011921296296</v>
      </c>
      <c r="F70" t="s">
        <v>585</v>
      </c>
      <c r="G70" t="s">
        <v>318</v>
      </c>
      <c r="H70" t="s">
        <v>462</v>
      </c>
      <c r="I70" t="s">
        <v>494</v>
      </c>
      <c r="J70" t="s">
        <v>501</v>
      </c>
    </row>
    <row r="71" spans="1:10" hidden="1" x14ac:dyDescent="0.25">
      <c r="A71" t="s">
        <v>77</v>
      </c>
      <c r="B71" t="s">
        <v>6</v>
      </c>
      <c r="C71" t="s">
        <v>7</v>
      </c>
      <c r="D71" t="s">
        <v>13</v>
      </c>
      <c r="E71" s="2">
        <v>43336.011932870373</v>
      </c>
      <c r="F71" t="s">
        <v>590</v>
      </c>
      <c r="G71" t="s">
        <v>427</v>
      </c>
      <c r="H71" t="s">
        <v>446</v>
      </c>
      <c r="I71" t="s">
        <v>498</v>
      </c>
      <c r="J71" t="s">
        <v>498</v>
      </c>
    </row>
    <row r="72" spans="1:10" hidden="1" x14ac:dyDescent="0.25">
      <c r="A72" t="s">
        <v>198</v>
      </c>
      <c r="B72" t="s">
        <v>6</v>
      </c>
      <c r="C72" t="s">
        <v>7</v>
      </c>
      <c r="D72" t="s">
        <v>10</v>
      </c>
      <c r="E72" s="2">
        <v>43336.011990740742</v>
      </c>
      <c r="F72" t="s">
        <v>302</v>
      </c>
      <c r="G72" t="s">
        <v>462</v>
      </c>
      <c r="H72" t="s">
        <v>455</v>
      </c>
      <c r="I72" t="s">
        <v>497</v>
      </c>
      <c r="J72" t="s">
        <v>497</v>
      </c>
    </row>
    <row r="73" spans="1:10" hidden="1" x14ac:dyDescent="0.25">
      <c r="A73" t="s">
        <v>350</v>
      </c>
      <c r="B73" t="s">
        <v>6</v>
      </c>
      <c r="C73" t="s">
        <v>7</v>
      </c>
      <c r="D73" t="s">
        <v>10</v>
      </c>
      <c r="E73" s="2">
        <v>43336.012071759258</v>
      </c>
      <c r="F73" t="s">
        <v>587</v>
      </c>
      <c r="G73" t="s">
        <v>385</v>
      </c>
      <c r="H73" t="s">
        <v>440</v>
      </c>
      <c r="I73" t="s">
        <v>576</v>
      </c>
      <c r="J73" t="s">
        <v>491</v>
      </c>
    </row>
    <row r="74" spans="1:10" hidden="1" x14ac:dyDescent="0.25">
      <c r="A74" t="s">
        <v>122</v>
      </c>
      <c r="B74" t="s">
        <v>6</v>
      </c>
      <c r="C74" t="s">
        <v>7</v>
      </c>
      <c r="D74" t="s">
        <v>13</v>
      </c>
      <c r="E74" s="2">
        <v>43336.012083333335</v>
      </c>
      <c r="F74" t="s">
        <v>591</v>
      </c>
      <c r="G74" t="s">
        <v>318</v>
      </c>
      <c r="H74" t="s">
        <v>460</v>
      </c>
      <c r="I74" t="s">
        <v>497</v>
      </c>
      <c r="J74" t="s">
        <v>497</v>
      </c>
    </row>
    <row r="75" spans="1:10" hidden="1" x14ac:dyDescent="0.25">
      <c r="A75" t="s">
        <v>254</v>
      </c>
      <c r="B75" t="s">
        <v>6</v>
      </c>
      <c r="C75" t="s">
        <v>7</v>
      </c>
      <c r="D75" t="s">
        <v>10</v>
      </c>
      <c r="E75" s="2">
        <v>43336.012245370373</v>
      </c>
      <c r="F75" t="s">
        <v>300</v>
      </c>
      <c r="G75" t="s">
        <v>460</v>
      </c>
      <c r="H75" t="s">
        <v>442</v>
      </c>
      <c r="I75" t="s">
        <v>494</v>
      </c>
      <c r="J75" t="s">
        <v>583</v>
      </c>
    </row>
    <row r="76" spans="1:10" hidden="1" x14ac:dyDescent="0.25">
      <c r="A76" t="s">
        <v>204</v>
      </c>
      <c r="B76" t="s">
        <v>6</v>
      </c>
      <c r="C76" t="s">
        <v>7</v>
      </c>
      <c r="D76" t="s">
        <v>10</v>
      </c>
      <c r="E76" s="2">
        <v>43336.012314814812</v>
      </c>
      <c r="F76" t="s">
        <v>299</v>
      </c>
      <c r="G76" t="s">
        <v>318</v>
      </c>
      <c r="H76" t="s">
        <v>456</v>
      </c>
      <c r="I76" t="s">
        <v>492</v>
      </c>
      <c r="J76" t="s">
        <v>546</v>
      </c>
    </row>
    <row r="77" spans="1:10" hidden="1" x14ac:dyDescent="0.25">
      <c r="A77" t="s">
        <v>406</v>
      </c>
      <c r="B77" t="s">
        <v>6</v>
      </c>
      <c r="C77" t="s">
        <v>7</v>
      </c>
      <c r="D77" t="s">
        <v>10</v>
      </c>
      <c r="E77" s="2">
        <v>43336.012314814812</v>
      </c>
      <c r="F77" t="s">
        <v>586</v>
      </c>
      <c r="G77" t="s">
        <v>318</v>
      </c>
      <c r="H77" t="s">
        <v>460</v>
      </c>
      <c r="I77" t="s">
        <v>490</v>
      </c>
      <c r="J77" t="s">
        <v>491</v>
      </c>
    </row>
    <row r="78" spans="1:10" hidden="1" x14ac:dyDescent="0.25">
      <c r="A78" t="s">
        <v>45</v>
      </c>
      <c r="B78" t="s">
        <v>6</v>
      </c>
      <c r="C78" t="s">
        <v>7</v>
      </c>
      <c r="D78" t="s">
        <v>10</v>
      </c>
      <c r="E78" s="2">
        <v>43336.012546296297</v>
      </c>
      <c r="F78" t="s">
        <v>585</v>
      </c>
      <c r="G78" t="s">
        <v>318</v>
      </c>
      <c r="H78" t="s">
        <v>453</v>
      </c>
      <c r="I78" t="s">
        <v>494</v>
      </c>
      <c r="J78" t="s">
        <v>501</v>
      </c>
    </row>
    <row r="79" spans="1:10" hidden="1" x14ac:dyDescent="0.25">
      <c r="A79" t="s">
        <v>197</v>
      </c>
      <c r="B79" t="s">
        <v>6</v>
      </c>
      <c r="C79" t="s">
        <v>7</v>
      </c>
      <c r="D79" t="s">
        <v>10</v>
      </c>
      <c r="E79" s="2">
        <v>43336.01258101852</v>
      </c>
      <c r="F79" t="s">
        <v>302</v>
      </c>
      <c r="G79" t="s">
        <v>462</v>
      </c>
      <c r="H79" t="s">
        <v>456</v>
      </c>
      <c r="I79" t="s">
        <v>497</v>
      </c>
      <c r="J79" t="s">
        <v>497</v>
      </c>
    </row>
    <row r="80" spans="1:10" hidden="1" x14ac:dyDescent="0.25">
      <c r="A80" t="s">
        <v>26</v>
      </c>
      <c r="B80" t="s">
        <v>6</v>
      </c>
      <c r="C80" t="s">
        <v>7</v>
      </c>
      <c r="D80" t="s">
        <v>13</v>
      </c>
      <c r="E80" s="2">
        <v>43336.012673611112</v>
      </c>
      <c r="F80" t="s">
        <v>590</v>
      </c>
      <c r="G80" t="s">
        <v>427</v>
      </c>
      <c r="H80" t="s">
        <v>447</v>
      </c>
      <c r="I80" t="s">
        <v>498</v>
      </c>
      <c r="J80" t="s">
        <v>498</v>
      </c>
    </row>
    <row r="81" spans="1:10" hidden="1" x14ac:dyDescent="0.25">
      <c r="A81" t="s">
        <v>334</v>
      </c>
      <c r="B81" t="s">
        <v>6</v>
      </c>
      <c r="C81" t="s">
        <v>7</v>
      </c>
      <c r="D81" t="s">
        <v>27</v>
      </c>
      <c r="E81" s="2">
        <v>43336.012824074074</v>
      </c>
      <c r="F81" t="s">
        <v>587</v>
      </c>
      <c r="G81" t="s">
        <v>385</v>
      </c>
      <c r="H81" t="s">
        <v>441</v>
      </c>
      <c r="I81" t="s">
        <v>578</v>
      </c>
      <c r="J81" t="s">
        <v>491</v>
      </c>
    </row>
    <row r="82" spans="1:10" hidden="1" x14ac:dyDescent="0.25">
      <c r="A82" t="s">
        <v>181</v>
      </c>
      <c r="B82" t="s">
        <v>6</v>
      </c>
      <c r="C82" t="s">
        <v>7</v>
      </c>
      <c r="D82" t="s">
        <v>13</v>
      </c>
      <c r="E82" s="2">
        <v>43336.01284722222</v>
      </c>
      <c r="F82" t="s">
        <v>591</v>
      </c>
      <c r="G82" t="s">
        <v>318</v>
      </c>
      <c r="H82" t="s">
        <v>461</v>
      </c>
      <c r="I82" t="s">
        <v>497</v>
      </c>
      <c r="J82" t="s">
        <v>497</v>
      </c>
    </row>
    <row r="83" spans="1:10" hidden="1" x14ac:dyDescent="0.25">
      <c r="A83" t="s">
        <v>255</v>
      </c>
      <c r="B83" t="s">
        <v>6</v>
      </c>
      <c r="C83" t="s">
        <v>7</v>
      </c>
      <c r="D83" t="s">
        <v>10</v>
      </c>
      <c r="E83" s="2">
        <v>43336.012870370374</v>
      </c>
      <c r="F83" t="s">
        <v>300</v>
      </c>
      <c r="G83" t="s">
        <v>460</v>
      </c>
      <c r="H83" t="s">
        <v>443</v>
      </c>
      <c r="I83" t="s">
        <v>494</v>
      </c>
      <c r="J83" t="s">
        <v>583</v>
      </c>
    </row>
    <row r="84" spans="1:10" hidden="1" x14ac:dyDescent="0.25">
      <c r="A84" t="s">
        <v>407</v>
      </c>
      <c r="B84" t="s">
        <v>6</v>
      </c>
      <c r="C84" t="s">
        <v>7</v>
      </c>
      <c r="D84" t="s">
        <v>10</v>
      </c>
      <c r="E84" s="2">
        <v>43336.012928240743</v>
      </c>
      <c r="F84" t="s">
        <v>586</v>
      </c>
      <c r="G84" t="s">
        <v>318</v>
      </c>
      <c r="H84" t="s">
        <v>461</v>
      </c>
      <c r="I84" t="s">
        <v>490</v>
      </c>
      <c r="J84" t="s">
        <v>491</v>
      </c>
    </row>
    <row r="85" spans="1:10" hidden="1" x14ac:dyDescent="0.25">
      <c r="A85" t="s">
        <v>118</v>
      </c>
      <c r="B85" t="s">
        <v>6</v>
      </c>
      <c r="C85" t="s">
        <v>7</v>
      </c>
      <c r="D85" t="s">
        <v>10</v>
      </c>
      <c r="E85" s="2">
        <v>43336.012939814813</v>
      </c>
      <c r="F85" t="s">
        <v>299</v>
      </c>
      <c r="G85" t="s">
        <v>318</v>
      </c>
      <c r="H85" t="s">
        <v>426</v>
      </c>
      <c r="I85" t="s">
        <v>492</v>
      </c>
      <c r="J85" t="s">
        <v>546</v>
      </c>
    </row>
    <row r="86" spans="1:10" hidden="1" x14ac:dyDescent="0.25">
      <c r="A86" t="s">
        <v>146</v>
      </c>
      <c r="B86" t="s">
        <v>6</v>
      </c>
      <c r="C86" t="s">
        <v>7</v>
      </c>
      <c r="D86" t="s">
        <v>10</v>
      </c>
      <c r="E86" s="2">
        <v>43336.013159722221</v>
      </c>
      <c r="F86" t="s">
        <v>585</v>
      </c>
      <c r="G86" t="s">
        <v>318</v>
      </c>
      <c r="H86" t="s">
        <v>454</v>
      </c>
      <c r="I86" t="s">
        <v>494</v>
      </c>
      <c r="J86" t="s">
        <v>501</v>
      </c>
    </row>
    <row r="87" spans="1:10" hidden="1" x14ac:dyDescent="0.25">
      <c r="A87" t="s">
        <v>258</v>
      </c>
      <c r="B87" t="s">
        <v>6</v>
      </c>
      <c r="C87" t="s">
        <v>7</v>
      </c>
      <c r="D87" t="s">
        <v>10</v>
      </c>
      <c r="E87" s="2">
        <v>43336.013182870367</v>
      </c>
      <c r="F87" t="s">
        <v>302</v>
      </c>
      <c r="G87" t="s">
        <v>462</v>
      </c>
      <c r="H87" t="s">
        <v>426</v>
      </c>
      <c r="I87" t="s">
        <v>497</v>
      </c>
      <c r="J87" t="s">
        <v>497</v>
      </c>
    </row>
    <row r="88" spans="1:10" hidden="1" x14ac:dyDescent="0.25">
      <c r="A88" t="s">
        <v>281</v>
      </c>
      <c r="B88" t="s">
        <v>6</v>
      </c>
      <c r="C88" t="s">
        <v>7</v>
      </c>
      <c r="D88" t="s">
        <v>10</v>
      </c>
      <c r="E88" s="2">
        <v>43336.013275462959</v>
      </c>
      <c r="F88" t="s">
        <v>590</v>
      </c>
      <c r="G88" t="s">
        <v>427</v>
      </c>
      <c r="H88" t="s">
        <v>448</v>
      </c>
      <c r="I88" t="s">
        <v>499</v>
      </c>
      <c r="J88" t="s">
        <v>497</v>
      </c>
    </row>
    <row r="89" spans="1:10" hidden="1" x14ac:dyDescent="0.25">
      <c r="A89" t="s">
        <v>351</v>
      </c>
      <c r="B89" t="s">
        <v>6</v>
      </c>
      <c r="C89" t="s">
        <v>7</v>
      </c>
      <c r="D89" t="s">
        <v>10</v>
      </c>
      <c r="E89" s="2">
        <v>43336.013437499998</v>
      </c>
      <c r="F89" t="s">
        <v>587</v>
      </c>
      <c r="G89" t="s">
        <v>385</v>
      </c>
      <c r="H89" t="s">
        <v>442</v>
      </c>
      <c r="I89" t="s">
        <v>580</v>
      </c>
      <c r="J89" t="s">
        <v>491</v>
      </c>
    </row>
    <row r="90" spans="1:10" hidden="1" x14ac:dyDescent="0.25">
      <c r="A90" t="s">
        <v>80</v>
      </c>
      <c r="B90" t="s">
        <v>6</v>
      </c>
      <c r="C90" t="s">
        <v>7</v>
      </c>
      <c r="D90" t="s">
        <v>476</v>
      </c>
      <c r="E90" s="2">
        <v>43336.013472222221</v>
      </c>
      <c r="F90" t="s">
        <v>591</v>
      </c>
      <c r="G90" t="s">
        <v>318</v>
      </c>
      <c r="H90" t="s">
        <v>462</v>
      </c>
      <c r="I90" t="s">
        <v>497</v>
      </c>
      <c r="J90" t="s">
        <v>497</v>
      </c>
    </row>
    <row r="91" spans="1:10" hidden="1" x14ac:dyDescent="0.25">
      <c r="A91" t="s">
        <v>244</v>
      </c>
      <c r="B91" t="s">
        <v>6</v>
      </c>
      <c r="C91" t="s">
        <v>7</v>
      </c>
      <c r="D91" t="s">
        <v>10</v>
      </c>
      <c r="E91" s="2">
        <v>43336.013495370367</v>
      </c>
      <c r="F91" t="s">
        <v>300</v>
      </c>
      <c r="G91" t="s">
        <v>460</v>
      </c>
      <c r="H91" t="s">
        <v>444</v>
      </c>
      <c r="I91" t="s">
        <v>494</v>
      </c>
      <c r="J91" t="s">
        <v>583</v>
      </c>
    </row>
    <row r="92" spans="1:10" hidden="1" x14ac:dyDescent="0.25">
      <c r="A92" t="s">
        <v>408</v>
      </c>
      <c r="B92" t="s">
        <v>6</v>
      </c>
      <c r="C92" t="s">
        <v>7</v>
      </c>
      <c r="D92" t="s">
        <v>10</v>
      </c>
      <c r="E92" s="2">
        <v>43336.013564814813</v>
      </c>
      <c r="F92" t="s">
        <v>586</v>
      </c>
      <c r="G92" t="s">
        <v>318</v>
      </c>
      <c r="H92" t="s">
        <v>462</v>
      </c>
      <c r="I92" t="s">
        <v>490</v>
      </c>
      <c r="J92" t="s">
        <v>491</v>
      </c>
    </row>
    <row r="93" spans="1:10" hidden="1" x14ac:dyDescent="0.25">
      <c r="A93" t="s">
        <v>79</v>
      </c>
      <c r="B93" t="s">
        <v>6</v>
      </c>
      <c r="C93" t="s">
        <v>7</v>
      </c>
      <c r="D93" t="s">
        <v>10</v>
      </c>
      <c r="E93" s="2">
        <v>43336.01357638889</v>
      </c>
      <c r="F93" t="s">
        <v>299</v>
      </c>
      <c r="G93" t="s">
        <v>318</v>
      </c>
      <c r="H93" t="s">
        <v>427</v>
      </c>
      <c r="I93" t="s">
        <v>492</v>
      </c>
      <c r="J93" t="s">
        <v>546</v>
      </c>
    </row>
    <row r="94" spans="1:10" hidden="1" x14ac:dyDescent="0.25">
      <c r="A94" t="s">
        <v>291</v>
      </c>
      <c r="B94" t="s">
        <v>6</v>
      </c>
      <c r="C94" t="s">
        <v>7</v>
      </c>
      <c r="D94" t="s">
        <v>10</v>
      </c>
      <c r="E94" s="2">
        <v>43336.013784722221</v>
      </c>
      <c r="F94" t="s">
        <v>585</v>
      </c>
      <c r="G94" t="s">
        <v>318</v>
      </c>
      <c r="H94" t="s">
        <v>455</v>
      </c>
      <c r="I94" t="s">
        <v>494</v>
      </c>
      <c r="J94" t="s">
        <v>501</v>
      </c>
    </row>
    <row r="95" spans="1:10" hidden="1" x14ac:dyDescent="0.25">
      <c r="A95" t="s">
        <v>194</v>
      </c>
      <c r="B95" t="s">
        <v>6</v>
      </c>
      <c r="C95" t="s">
        <v>7</v>
      </c>
      <c r="D95" t="s">
        <v>10</v>
      </c>
      <c r="E95" s="2">
        <v>43336.013784722221</v>
      </c>
      <c r="F95" t="s">
        <v>302</v>
      </c>
      <c r="G95" t="s">
        <v>462</v>
      </c>
      <c r="H95" t="s">
        <v>427</v>
      </c>
      <c r="I95" t="s">
        <v>497</v>
      </c>
      <c r="J95" t="s">
        <v>497</v>
      </c>
    </row>
    <row r="96" spans="1:10" hidden="1" x14ac:dyDescent="0.25">
      <c r="A96" t="s">
        <v>115</v>
      </c>
      <c r="B96" t="s">
        <v>6</v>
      </c>
      <c r="C96" t="s">
        <v>7</v>
      </c>
      <c r="D96" t="s">
        <v>10</v>
      </c>
      <c r="E96" s="2">
        <v>43336.01390046296</v>
      </c>
      <c r="F96" t="s">
        <v>590</v>
      </c>
      <c r="G96" t="s">
        <v>427</v>
      </c>
      <c r="H96" t="s">
        <v>449</v>
      </c>
      <c r="I96" t="s">
        <v>499</v>
      </c>
      <c r="J96" t="s">
        <v>497</v>
      </c>
    </row>
    <row r="97" spans="1:10" hidden="1" x14ac:dyDescent="0.25">
      <c r="A97" t="s">
        <v>352</v>
      </c>
      <c r="B97" t="s">
        <v>6</v>
      </c>
      <c r="C97" t="s">
        <v>7</v>
      </c>
      <c r="D97" t="s">
        <v>10</v>
      </c>
      <c r="E97" s="2">
        <v>43336.014039351852</v>
      </c>
      <c r="F97" t="s">
        <v>587</v>
      </c>
      <c r="G97" t="s">
        <v>385</v>
      </c>
      <c r="H97" t="s">
        <v>443</v>
      </c>
      <c r="I97" t="s">
        <v>579</v>
      </c>
      <c r="J97" t="s">
        <v>491</v>
      </c>
    </row>
    <row r="98" spans="1:10" hidden="1" x14ac:dyDescent="0.25">
      <c r="A98" t="s">
        <v>256</v>
      </c>
      <c r="B98" t="s">
        <v>6</v>
      </c>
      <c r="C98" t="s">
        <v>7</v>
      </c>
      <c r="D98" t="s">
        <v>10</v>
      </c>
      <c r="E98" s="2">
        <v>43336.014247685183</v>
      </c>
      <c r="F98" t="s">
        <v>300</v>
      </c>
      <c r="G98" t="s">
        <v>460</v>
      </c>
      <c r="H98" t="s">
        <v>445</v>
      </c>
      <c r="I98" t="s">
        <v>494</v>
      </c>
      <c r="J98" t="s">
        <v>583</v>
      </c>
    </row>
    <row r="99" spans="1:10" hidden="1" x14ac:dyDescent="0.25">
      <c r="A99" t="s">
        <v>395</v>
      </c>
      <c r="B99" t="s">
        <v>6</v>
      </c>
      <c r="C99" t="s">
        <v>7</v>
      </c>
      <c r="D99" t="s">
        <v>13</v>
      </c>
      <c r="E99" s="2">
        <v>43336.014317129629</v>
      </c>
      <c r="F99" t="s">
        <v>591</v>
      </c>
      <c r="G99" t="s">
        <v>318</v>
      </c>
      <c r="H99" t="s">
        <v>453</v>
      </c>
      <c r="I99" t="s">
        <v>548</v>
      </c>
      <c r="J99" t="s">
        <v>549</v>
      </c>
    </row>
    <row r="100" spans="1:10" hidden="1" x14ac:dyDescent="0.25">
      <c r="A100" t="s">
        <v>103</v>
      </c>
      <c r="B100" t="s">
        <v>6</v>
      </c>
      <c r="C100" t="s">
        <v>7</v>
      </c>
      <c r="D100" t="s">
        <v>10</v>
      </c>
      <c r="E100" s="2">
        <v>43336.014374999999</v>
      </c>
      <c r="F100" t="s">
        <v>299</v>
      </c>
      <c r="G100" t="s">
        <v>318</v>
      </c>
      <c r="H100" t="s">
        <v>428</v>
      </c>
      <c r="I100" t="s">
        <v>492</v>
      </c>
      <c r="J100" t="s">
        <v>546</v>
      </c>
    </row>
    <row r="101" spans="1:10" hidden="1" x14ac:dyDescent="0.25">
      <c r="A101" t="s">
        <v>335</v>
      </c>
      <c r="B101" t="s">
        <v>6</v>
      </c>
      <c r="C101" t="s">
        <v>7</v>
      </c>
      <c r="D101" t="s">
        <v>10</v>
      </c>
      <c r="E101" s="2">
        <v>43336.014398148145</v>
      </c>
      <c r="F101" t="s">
        <v>586</v>
      </c>
      <c r="G101" t="s">
        <v>318</v>
      </c>
      <c r="H101" t="s">
        <v>453</v>
      </c>
      <c r="I101" t="s">
        <v>490</v>
      </c>
      <c r="J101" t="s">
        <v>491</v>
      </c>
    </row>
    <row r="102" spans="1:10" hidden="1" x14ac:dyDescent="0.25">
      <c r="A102" t="s">
        <v>259</v>
      </c>
      <c r="B102" t="s">
        <v>6</v>
      </c>
      <c r="C102" t="s">
        <v>7</v>
      </c>
      <c r="D102" t="s">
        <v>10</v>
      </c>
      <c r="E102" s="2">
        <v>43336.014409722222</v>
      </c>
      <c r="F102" t="s">
        <v>302</v>
      </c>
      <c r="G102" t="s">
        <v>462</v>
      </c>
      <c r="H102" t="s">
        <v>428</v>
      </c>
      <c r="I102" t="s">
        <v>497</v>
      </c>
      <c r="J102" t="s">
        <v>497</v>
      </c>
    </row>
    <row r="103" spans="1:10" hidden="1" x14ac:dyDescent="0.25">
      <c r="A103" t="s">
        <v>292</v>
      </c>
      <c r="B103" t="s">
        <v>6</v>
      </c>
      <c r="C103" t="s">
        <v>7</v>
      </c>
      <c r="D103" t="s">
        <v>10</v>
      </c>
      <c r="E103" s="2">
        <v>43336.014432870368</v>
      </c>
      <c r="F103" t="s">
        <v>585</v>
      </c>
      <c r="G103" t="s">
        <v>318</v>
      </c>
      <c r="H103" t="s">
        <v>456</v>
      </c>
      <c r="I103" t="s">
        <v>494</v>
      </c>
      <c r="J103" t="s">
        <v>501</v>
      </c>
    </row>
    <row r="104" spans="1:10" hidden="1" x14ac:dyDescent="0.25">
      <c r="A104" t="s">
        <v>186</v>
      </c>
      <c r="B104" t="s">
        <v>6</v>
      </c>
      <c r="C104" t="s">
        <v>7</v>
      </c>
      <c r="D104" t="s">
        <v>476</v>
      </c>
      <c r="E104" s="2">
        <v>43336.014513888891</v>
      </c>
      <c r="F104" t="s">
        <v>590</v>
      </c>
      <c r="G104" t="s">
        <v>427</v>
      </c>
      <c r="H104" t="s">
        <v>450</v>
      </c>
      <c r="I104" t="s">
        <v>496</v>
      </c>
      <c r="J104" t="s">
        <v>497</v>
      </c>
    </row>
    <row r="105" spans="1:10" hidden="1" x14ac:dyDescent="0.25">
      <c r="A105" t="s">
        <v>353</v>
      </c>
      <c r="B105" t="s">
        <v>6</v>
      </c>
      <c r="C105" t="s">
        <v>7</v>
      </c>
      <c r="D105" t="s">
        <v>10</v>
      </c>
      <c r="E105" s="2">
        <v>43336.014641203707</v>
      </c>
      <c r="F105" t="s">
        <v>587</v>
      </c>
      <c r="G105" t="s">
        <v>385</v>
      </c>
      <c r="H105" t="s">
        <v>444</v>
      </c>
      <c r="I105" t="s">
        <v>588</v>
      </c>
      <c r="J105" t="s">
        <v>491</v>
      </c>
    </row>
    <row r="106" spans="1:10" hidden="1" x14ac:dyDescent="0.25">
      <c r="A106" t="s">
        <v>257</v>
      </c>
      <c r="B106" t="s">
        <v>6</v>
      </c>
      <c r="C106" t="s">
        <v>7</v>
      </c>
      <c r="D106" t="s">
        <v>10</v>
      </c>
      <c r="E106" s="2">
        <v>43336.014872685184</v>
      </c>
      <c r="F106" t="s">
        <v>300</v>
      </c>
      <c r="G106" t="s">
        <v>460</v>
      </c>
      <c r="H106" t="s">
        <v>446</v>
      </c>
      <c r="I106" t="s">
        <v>584</v>
      </c>
      <c r="J106" t="s">
        <v>584</v>
      </c>
    </row>
    <row r="107" spans="1:10" hidden="1" x14ac:dyDescent="0.25">
      <c r="A107" t="s">
        <v>193</v>
      </c>
      <c r="B107" t="s">
        <v>306</v>
      </c>
      <c r="C107" t="s">
        <v>306</v>
      </c>
      <c r="D107" t="s">
        <v>307</v>
      </c>
      <c r="E107" s="2">
        <v>43336.014965277776</v>
      </c>
      <c r="F107" t="s">
        <v>302</v>
      </c>
      <c r="G107" t="s">
        <v>462</v>
      </c>
      <c r="H107" t="s">
        <v>429</v>
      </c>
      <c r="I107" t="s">
        <v>497</v>
      </c>
      <c r="J107" t="s">
        <v>497</v>
      </c>
    </row>
    <row r="108" spans="1:10" hidden="1" x14ac:dyDescent="0.25">
      <c r="A108" t="s">
        <v>170</v>
      </c>
      <c r="B108" t="s">
        <v>306</v>
      </c>
      <c r="C108" t="s">
        <v>306</v>
      </c>
      <c r="D108" t="s">
        <v>307</v>
      </c>
      <c r="E108" s="2">
        <v>43336.014976851853</v>
      </c>
      <c r="F108" t="s">
        <v>585</v>
      </c>
      <c r="G108" t="s">
        <v>318</v>
      </c>
      <c r="H108" t="s">
        <v>426</v>
      </c>
      <c r="I108" t="s">
        <v>494</v>
      </c>
      <c r="J108" t="s">
        <v>501</v>
      </c>
    </row>
    <row r="109" spans="1:10" hidden="1" x14ac:dyDescent="0.25">
      <c r="A109" t="s">
        <v>82</v>
      </c>
      <c r="B109" t="s">
        <v>6</v>
      </c>
      <c r="C109" t="s">
        <v>7</v>
      </c>
      <c r="D109" t="s">
        <v>10</v>
      </c>
      <c r="E109" s="2">
        <v>43336.015011574076</v>
      </c>
      <c r="F109" t="s">
        <v>299</v>
      </c>
      <c r="G109" t="s">
        <v>318</v>
      </c>
      <c r="H109" t="s">
        <v>429</v>
      </c>
      <c r="I109" t="s">
        <v>492</v>
      </c>
      <c r="J109" t="s">
        <v>546</v>
      </c>
    </row>
    <row r="110" spans="1:10" hidden="1" x14ac:dyDescent="0.25">
      <c r="A110" t="s">
        <v>365</v>
      </c>
      <c r="B110" t="s">
        <v>6</v>
      </c>
      <c r="C110" t="s">
        <v>7</v>
      </c>
      <c r="D110" t="s">
        <v>13</v>
      </c>
      <c r="E110" s="2">
        <v>43336.015057870369</v>
      </c>
      <c r="F110" t="s">
        <v>591</v>
      </c>
      <c r="G110" t="s">
        <v>318</v>
      </c>
      <c r="H110" t="s">
        <v>454</v>
      </c>
      <c r="I110" t="s">
        <v>548</v>
      </c>
      <c r="J110" t="s">
        <v>550</v>
      </c>
    </row>
    <row r="111" spans="1:10" hidden="1" x14ac:dyDescent="0.25">
      <c r="A111" t="s">
        <v>336</v>
      </c>
      <c r="B111" t="s">
        <v>6</v>
      </c>
      <c r="C111" t="s">
        <v>7</v>
      </c>
      <c r="D111" t="s">
        <v>27</v>
      </c>
      <c r="E111" s="2">
        <v>43336.015196759261</v>
      </c>
      <c r="F111" t="s">
        <v>586</v>
      </c>
      <c r="G111" t="s">
        <v>318</v>
      </c>
      <c r="H111" t="s">
        <v>454</v>
      </c>
      <c r="I111" t="s">
        <v>490</v>
      </c>
      <c r="J111" t="s">
        <v>491</v>
      </c>
    </row>
    <row r="112" spans="1:10" hidden="1" x14ac:dyDescent="0.25">
      <c r="A112" t="s">
        <v>354</v>
      </c>
      <c r="B112" t="s">
        <v>6</v>
      </c>
      <c r="C112" t="s">
        <v>7</v>
      </c>
      <c r="D112" t="s">
        <v>10</v>
      </c>
      <c r="E112" s="2">
        <v>43336.015277777777</v>
      </c>
      <c r="F112" t="s">
        <v>587</v>
      </c>
      <c r="G112" t="s">
        <v>385</v>
      </c>
      <c r="H112" t="s">
        <v>445</v>
      </c>
      <c r="I112" t="s">
        <v>539</v>
      </c>
      <c r="J112" t="s">
        <v>491</v>
      </c>
    </row>
    <row r="113" spans="1:10" hidden="1" x14ac:dyDescent="0.25">
      <c r="A113" t="s">
        <v>46</v>
      </c>
      <c r="B113" t="s">
        <v>6</v>
      </c>
      <c r="C113" t="s">
        <v>7</v>
      </c>
      <c r="D113" t="s">
        <v>476</v>
      </c>
      <c r="E113" s="2">
        <v>43336.015277777777</v>
      </c>
      <c r="F113" t="s">
        <v>590</v>
      </c>
      <c r="G113" t="s">
        <v>427</v>
      </c>
      <c r="H113" t="s">
        <v>451</v>
      </c>
      <c r="I113" t="s">
        <v>497</v>
      </c>
      <c r="J113" t="s">
        <v>497</v>
      </c>
    </row>
    <row r="114" spans="1:10" hidden="1" x14ac:dyDescent="0.25">
      <c r="A114" t="s">
        <v>263</v>
      </c>
      <c r="B114" t="s">
        <v>6</v>
      </c>
      <c r="C114" t="s">
        <v>7</v>
      </c>
      <c r="D114" t="s">
        <v>10</v>
      </c>
      <c r="E114" s="2">
        <v>43336.015497685185</v>
      </c>
      <c r="F114" t="s">
        <v>300</v>
      </c>
      <c r="G114" t="s">
        <v>460</v>
      </c>
      <c r="H114" t="s">
        <v>447</v>
      </c>
      <c r="I114" t="s">
        <v>584</v>
      </c>
      <c r="J114" t="s">
        <v>584</v>
      </c>
    </row>
    <row r="115" spans="1:10" hidden="1" x14ac:dyDescent="0.25">
      <c r="A115" t="s">
        <v>190</v>
      </c>
      <c r="B115" t="s">
        <v>6</v>
      </c>
      <c r="C115" t="s">
        <v>7</v>
      </c>
      <c r="D115" t="s">
        <v>10</v>
      </c>
      <c r="E115" s="2">
        <v>43336.015543981484</v>
      </c>
      <c r="F115" t="s">
        <v>302</v>
      </c>
      <c r="G115" t="s">
        <v>462</v>
      </c>
      <c r="H115" t="s">
        <v>430</v>
      </c>
      <c r="I115" t="s">
        <v>497</v>
      </c>
      <c r="J115" t="s">
        <v>497</v>
      </c>
    </row>
    <row r="116" spans="1:10" hidden="1" x14ac:dyDescent="0.25">
      <c r="A116" t="s">
        <v>293</v>
      </c>
      <c r="B116" t="s">
        <v>6</v>
      </c>
      <c r="C116" t="s">
        <v>7</v>
      </c>
      <c r="D116" t="s">
        <v>10</v>
      </c>
      <c r="E116" s="2">
        <v>43336.015601851854</v>
      </c>
      <c r="F116" t="s">
        <v>585</v>
      </c>
      <c r="G116" t="s">
        <v>318</v>
      </c>
      <c r="H116" t="s">
        <v>427</v>
      </c>
      <c r="I116" t="s">
        <v>494</v>
      </c>
      <c r="J116" t="s">
        <v>501</v>
      </c>
    </row>
    <row r="117" spans="1:10" hidden="1" x14ac:dyDescent="0.25">
      <c r="A117" t="s">
        <v>81</v>
      </c>
      <c r="B117" t="s">
        <v>6</v>
      </c>
      <c r="C117" t="s">
        <v>7</v>
      </c>
      <c r="D117" t="s">
        <v>10</v>
      </c>
      <c r="E117" s="2">
        <v>43336.015636574077</v>
      </c>
      <c r="F117" t="s">
        <v>299</v>
      </c>
      <c r="G117" t="s">
        <v>318</v>
      </c>
      <c r="H117" t="s">
        <v>430</v>
      </c>
      <c r="I117" t="s">
        <v>533</v>
      </c>
      <c r="J117" t="s">
        <v>543</v>
      </c>
    </row>
    <row r="118" spans="1:10" hidden="1" x14ac:dyDescent="0.25">
      <c r="A118" t="s">
        <v>396</v>
      </c>
      <c r="B118" t="s">
        <v>6</v>
      </c>
      <c r="C118" t="s">
        <v>7</v>
      </c>
      <c r="D118" t="s">
        <v>13</v>
      </c>
      <c r="E118" s="2">
        <v>43336.015787037039</v>
      </c>
      <c r="F118" t="s">
        <v>591</v>
      </c>
      <c r="G118" t="s">
        <v>318</v>
      </c>
      <c r="H118" t="s">
        <v>455</v>
      </c>
      <c r="I118" t="s">
        <v>548</v>
      </c>
      <c r="J118" t="s">
        <v>551</v>
      </c>
    </row>
    <row r="119" spans="1:10" hidden="1" x14ac:dyDescent="0.25">
      <c r="A119" t="s">
        <v>337</v>
      </c>
      <c r="B119" t="s">
        <v>6</v>
      </c>
      <c r="C119" t="s">
        <v>7</v>
      </c>
      <c r="D119" t="s">
        <v>10</v>
      </c>
      <c r="E119" s="2">
        <v>43336.015821759262</v>
      </c>
      <c r="F119" t="s">
        <v>586</v>
      </c>
      <c r="G119" t="s">
        <v>318</v>
      </c>
      <c r="H119" t="s">
        <v>455</v>
      </c>
      <c r="I119" t="s">
        <v>490</v>
      </c>
      <c r="J119" t="s">
        <v>491</v>
      </c>
    </row>
    <row r="120" spans="1:10" hidden="1" x14ac:dyDescent="0.25">
      <c r="A120" t="s">
        <v>355</v>
      </c>
      <c r="B120" t="s">
        <v>6</v>
      </c>
      <c r="C120" t="s">
        <v>7</v>
      </c>
      <c r="D120" t="s">
        <v>10</v>
      </c>
      <c r="E120" s="2">
        <v>43336.015902777777</v>
      </c>
      <c r="F120" t="s">
        <v>587</v>
      </c>
      <c r="G120" t="s">
        <v>385</v>
      </c>
      <c r="H120" t="s">
        <v>446</v>
      </c>
      <c r="I120" t="s">
        <v>538</v>
      </c>
      <c r="J120" t="s">
        <v>491</v>
      </c>
    </row>
    <row r="121" spans="1:10" hidden="1" x14ac:dyDescent="0.25">
      <c r="A121" t="s">
        <v>208</v>
      </c>
      <c r="B121" t="s">
        <v>6</v>
      </c>
      <c r="C121" t="s">
        <v>7</v>
      </c>
      <c r="D121" t="s">
        <v>13</v>
      </c>
      <c r="E121" s="2">
        <v>43336.016018518516</v>
      </c>
      <c r="F121" t="s">
        <v>590</v>
      </c>
      <c r="G121" t="s">
        <v>427</v>
      </c>
      <c r="H121" t="s">
        <v>452</v>
      </c>
      <c r="I121" t="s">
        <v>497</v>
      </c>
      <c r="J121" t="s">
        <v>497</v>
      </c>
    </row>
    <row r="122" spans="1:10" hidden="1" x14ac:dyDescent="0.25">
      <c r="A122" t="s">
        <v>188</v>
      </c>
      <c r="B122" t="s">
        <v>6</v>
      </c>
      <c r="C122" t="s">
        <v>7</v>
      </c>
      <c r="D122" t="s">
        <v>476</v>
      </c>
      <c r="E122" s="2">
        <v>43336.016111111108</v>
      </c>
      <c r="F122" t="s">
        <v>302</v>
      </c>
      <c r="G122" t="s">
        <v>462</v>
      </c>
      <c r="H122" t="s">
        <v>431</v>
      </c>
      <c r="I122" t="s">
        <v>497</v>
      </c>
      <c r="J122" t="s">
        <v>497</v>
      </c>
    </row>
    <row r="123" spans="1:10" hidden="1" x14ac:dyDescent="0.25">
      <c r="A123" t="s">
        <v>264</v>
      </c>
      <c r="B123" t="s">
        <v>6</v>
      </c>
      <c r="C123" t="s">
        <v>7</v>
      </c>
      <c r="D123" t="s">
        <v>10</v>
      </c>
      <c r="E123" s="2">
        <v>43336.016111111108</v>
      </c>
      <c r="F123" t="s">
        <v>300</v>
      </c>
      <c r="G123" t="s">
        <v>460</v>
      </c>
      <c r="H123" t="s">
        <v>448</v>
      </c>
      <c r="I123" t="s">
        <v>584</v>
      </c>
      <c r="J123" t="s">
        <v>584</v>
      </c>
    </row>
    <row r="124" spans="1:10" hidden="1" x14ac:dyDescent="0.25">
      <c r="A124" t="s">
        <v>44</v>
      </c>
      <c r="B124" t="s">
        <v>6</v>
      </c>
      <c r="C124" t="s">
        <v>7</v>
      </c>
      <c r="D124" t="s">
        <v>10</v>
      </c>
      <c r="E124" s="2">
        <v>43336.016203703701</v>
      </c>
      <c r="F124" t="s">
        <v>585</v>
      </c>
      <c r="G124" t="s">
        <v>318</v>
      </c>
      <c r="H124" t="s">
        <v>428</v>
      </c>
      <c r="I124" t="s">
        <v>494</v>
      </c>
      <c r="J124" t="s">
        <v>501</v>
      </c>
    </row>
    <row r="125" spans="1:10" hidden="1" x14ac:dyDescent="0.25">
      <c r="A125" t="s">
        <v>153</v>
      </c>
      <c r="B125" t="s">
        <v>6</v>
      </c>
      <c r="C125" t="s">
        <v>7</v>
      </c>
      <c r="D125" t="s">
        <v>10</v>
      </c>
      <c r="E125" s="2">
        <v>43336.016284722224</v>
      </c>
      <c r="F125" t="s">
        <v>299</v>
      </c>
      <c r="G125" t="s">
        <v>318</v>
      </c>
      <c r="H125" t="s">
        <v>431</v>
      </c>
      <c r="I125" t="s">
        <v>533</v>
      </c>
      <c r="J125" t="s">
        <v>543</v>
      </c>
    </row>
    <row r="126" spans="1:10" hidden="1" x14ac:dyDescent="0.25">
      <c r="A126" t="s">
        <v>340</v>
      </c>
      <c r="B126" t="s">
        <v>6</v>
      </c>
      <c r="C126" t="s">
        <v>7</v>
      </c>
      <c r="D126" t="s">
        <v>476</v>
      </c>
      <c r="E126" s="2">
        <v>43336.016400462962</v>
      </c>
      <c r="F126" t="s">
        <v>591</v>
      </c>
      <c r="G126" t="s">
        <v>318</v>
      </c>
      <c r="H126" t="s">
        <v>456</v>
      </c>
      <c r="I126" t="s">
        <v>548</v>
      </c>
      <c r="J126" t="s">
        <v>552</v>
      </c>
    </row>
    <row r="127" spans="1:10" hidden="1" x14ac:dyDescent="0.25">
      <c r="A127" t="s">
        <v>338</v>
      </c>
      <c r="B127" t="s">
        <v>6</v>
      </c>
      <c r="C127" t="s">
        <v>7</v>
      </c>
      <c r="D127" t="s">
        <v>10</v>
      </c>
      <c r="E127" s="2">
        <v>43336.016435185185</v>
      </c>
      <c r="F127" t="s">
        <v>586</v>
      </c>
      <c r="G127" t="s">
        <v>318</v>
      </c>
      <c r="H127" t="s">
        <v>456</v>
      </c>
      <c r="I127" t="s">
        <v>490</v>
      </c>
      <c r="J127" t="s">
        <v>491</v>
      </c>
    </row>
    <row r="128" spans="1:10" hidden="1" x14ac:dyDescent="0.25">
      <c r="A128" t="s">
        <v>357</v>
      </c>
      <c r="B128" t="s">
        <v>6</v>
      </c>
      <c r="C128" t="s">
        <v>7</v>
      </c>
      <c r="D128" t="s">
        <v>10</v>
      </c>
      <c r="E128" s="2">
        <v>43336.016516203701</v>
      </c>
      <c r="F128" t="s">
        <v>587</v>
      </c>
      <c r="G128" t="s">
        <v>385</v>
      </c>
      <c r="H128" t="s">
        <v>447</v>
      </c>
      <c r="I128" t="s">
        <v>536</v>
      </c>
      <c r="J128" t="s">
        <v>491</v>
      </c>
    </row>
    <row r="129" spans="1:10" hidden="1" x14ac:dyDescent="0.25">
      <c r="A129" t="s">
        <v>260</v>
      </c>
      <c r="B129" t="s">
        <v>6</v>
      </c>
      <c r="C129" t="s">
        <v>7</v>
      </c>
      <c r="D129" t="s">
        <v>476</v>
      </c>
      <c r="E129" s="2">
        <v>43336.016701388886</v>
      </c>
      <c r="F129" t="s">
        <v>302</v>
      </c>
      <c r="G129" t="s">
        <v>462</v>
      </c>
      <c r="H129" t="s">
        <v>432</v>
      </c>
      <c r="I129" t="s">
        <v>528</v>
      </c>
      <c r="J129" t="s">
        <v>529</v>
      </c>
    </row>
    <row r="130" spans="1:10" hidden="1" x14ac:dyDescent="0.25">
      <c r="A130" t="s">
        <v>30</v>
      </c>
      <c r="B130" t="s">
        <v>6</v>
      </c>
      <c r="C130" t="s">
        <v>7</v>
      </c>
      <c r="D130" t="s">
        <v>10</v>
      </c>
      <c r="E130" s="2">
        <v>43336.016712962963</v>
      </c>
      <c r="F130" t="s">
        <v>590</v>
      </c>
      <c r="G130" t="s">
        <v>427</v>
      </c>
      <c r="H130" t="s">
        <v>318</v>
      </c>
      <c r="I130" t="s">
        <v>494</v>
      </c>
      <c r="J130" t="s">
        <v>495</v>
      </c>
    </row>
    <row r="131" spans="1:10" hidden="1" x14ac:dyDescent="0.25">
      <c r="A131" t="s">
        <v>265</v>
      </c>
      <c r="B131" t="s">
        <v>6</v>
      </c>
      <c r="C131" t="s">
        <v>7</v>
      </c>
      <c r="D131" t="s">
        <v>10</v>
      </c>
      <c r="E131" s="2">
        <v>43336.016736111109</v>
      </c>
      <c r="F131" t="s">
        <v>300</v>
      </c>
      <c r="G131" t="s">
        <v>460</v>
      </c>
      <c r="H131" t="s">
        <v>449</v>
      </c>
      <c r="I131" t="s">
        <v>584</v>
      </c>
      <c r="J131" t="s">
        <v>584</v>
      </c>
    </row>
    <row r="132" spans="1:10" hidden="1" x14ac:dyDescent="0.25">
      <c r="A132" t="s">
        <v>133</v>
      </c>
      <c r="B132" t="s">
        <v>6</v>
      </c>
      <c r="C132" t="s">
        <v>7</v>
      </c>
      <c r="D132" t="s">
        <v>10</v>
      </c>
      <c r="E132" s="2">
        <v>43336.016828703701</v>
      </c>
      <c r="F132" t="s">
        <v>585</v>
      </c>
      <c r="G132" t="s">
        <v>318</v>
      </c>
      <c r="H132" t="s">
        <v>429</v>
      </c>
      <c r="I132" t="s">
        <v>494</v>
      </c>
      <c r="J132" t="s">
        <v>501</v>
      </c>
    </row>
    <row r="133" spans="1:10" hidden="1" x14ac:dyDescent="0.25">
      <c r="A133" t="s">
        <v>99</v>
      </c>
      <c r="B133" t="s">
        <v>6</v>
      </c>
      <c r="C133" t="s">
        <v>7</v>
      </c>
      <c r="D133" t="s">
        <v>10</v>
      </c>
      <c r="E133" s="2">
        <v>43336.016921296294</v>
      </c>
      <c r="F133" t="s">
        <v>299</v>
      </c>
      <c r="G133" t="s">
        <v>318</v>
      </c>
      <c r="H133" t="s">
        <v>432</v>
      </c>
      <c r="I133" t="s">
        <v>533</v>
      </c>
      <c r="J133" t="s">
        <v>543</v>
      </c>
    </row>
    <row r="134" spans="1:10" hidden="1" x14ac:dyDescent="0.25">
      <c r="A134" t="s">
        <v>301</v>
      </c>
      <c r="B134" t="s">
        <v>6</v>
      </c>
      <c r="C134" t="s">
        <v>7</v>
      </c>
      <c r="D134" t="s">
        <v>10</v>
      </c>
      <c r="E134" s="2">
        <v>43336.017013888886</v>
      </c>
      <c r="F134" t="s">
        <v>591</v>
      </c>
      <c r="G134" t="s">
        <v>318</v>
      </c>
      <c r="H134" t="s">
        <v>426</v>
      </c>
      <c r="I134" t="s">
        <v>513</v>
      </c>
      <c r="J134" t="s">
        <v>555</v>
      </c>
    </row>
    <row r="135" spans="1:10" hidden="1" x14ac:dyDescent="0.25">
      <c r="A135" t="s">
        <v>339</v>
      </c>
      <c r="B135" t="s">
        <v>6</v>
      </c>
      <c r="C135" t="s">
        <v>7</v>
      </c>
      <c r="D135" t="s">
        <v>10</v>
      </c>
      <c r="E135" s="2">
        <v>43336.017048611109</v>
      </c>
      <c r="F135" t="s">
        <v>586</v>
      </c>
      <c r="G135" t="s">
        <v>318</v>
      </c>
      <c r="H135" t="s">
        <v>426</v>
      </c>
      <c r="I135" t="s">
        <v>490</v>
      </c>
      <c r="J135" t="s">
        <v>491</v>
      </c>
    </row>
    <row r="136" spans="1:10" hidden="1" x14ac:dyDescent="0.25">
      <c r="A136" t="s">
        <v>358</v>
      </c>
      <c r="B136" t="s">
        <v>6</v>
      </c>
      <c r="C136" t="s">
        <v>7</v>
      </c>
      <c r="D136" t="s">
        <v>10</v>
      </c>
      <c r="E136" s="2">
        <v>43336.017141203702</v>
      </c>
      <c r="F136" t="s">
        <v>587</v>
      </c>
      <c r="G136" t="s">
        <v>385</v>
      </c>
      <c r="H136" t="s">
        <v>448</v>
      </c>
      <c r="I136" t="s">
        <v>534</v>
      </c>
      <c r="J136" t="s">
        <v>520</v>
      </c>
    </row>
    <row r="137" spans="1:10" hidden="1" x14ac:dyDescent="0.25">
      <c r="A137" t="s">
        <v>29</v>
      </c>
      <c r="B137" t="s">
        <v>6</v>
      </c>
      <c r="C137" t="s">
        <v>7</v>
      </c>
      <c r="D137" t="s">
        <v>476</v>
      </c>
      <c r="E137" s="2">
        <v>43336.017337962963</v>
      </c>
      <c r="F137" t="s">
        <v>590</v>
      </c>
      <c r="G137" t="s">
        <v>427</v>
      </c>
      <c r="H137" t="s">
        <v>323</v>
      </c>
      <c r="I137" t="s">
        <v>494</v>
      </c>
      <c r="J137" t="s">
        <v>497</v>
      </c>
    </row>
    <row r="138" spans="1:10" hidden="1" x14ac:dyDescent="0.25">
      <c r="A138" t="s">
        <v>266</v>
      </c>
      <c r="B138" t="s">
        <v>6</v>
      </c>
      <c r="C138" t="s">
        <v>7</v>
      </c>
      <c r="D138" t="s">
        <v>10</v>
      </c>
      <c r="E138" s="2">
        <v>43336.017361111109</v>
      </c>
      <c r="F138" t="s">
        <v>300</v>
      </c>
      <c r="G138" t="s">
        <v>460</v>
      </c>
      <c r="H138" t="s">
        <v>450</v>
      </c>
      <c r="I138" t="s">
        <v>584</v>
      </c>
      <c r="J138" t="s">
        <v>584</v>
      </c>
    </row>
    <row r="139" spans="1:10" hidden="1" x14ac:dyDescent="0.25">
      <c r="A139" t="s">
        <v>196</v>
      </c>
      <c r="B139" t="s">
        <v>6</v>
      </c>
      <c r="C139" t="s">
        <v>7</v>
      </c>
      <c r="D139" t="s">
        <v>27</v>
      </c>
      <c r="E139" s="2">
        <v>43336.017430555556</v>
      </c>
      <c r="F139" t="s">
        <v>302</v>
      </c>
      <c r="G139" t="s">
        <v>462</v>
      </c>
      <c r="H139" t="s">
        <v>433</v>
      </c>
      <c r="I139" t="s">
        <v>528</v>
      </c>
      <c r="J139" t="s">
        <v>529</v>
      </c>
    </row>
    <row r="140" spans="1:10" hidden="1" x14ac:dyDescent="0.25">
      <c r="A140" t="s">
        <v>124</v>
      </c>
      <c r="B140" t="s">
        <v>6</v>
      </c>
      <c r="C140" t="s">
        <v>7</v>
      </c>
      <c r="D140" t="s">
        <v>10</v>
      </c>
      <c r="E140" s="2">
        <v>43336.017465277779</v>
      </c>
      <c r="F140" t="s">
        <v>585</v>
      </c>
      <c r="G140" t="s">
        <v>318</v>
      </c>
      <c r="H140" t="s">
        <v>430</v>
      </c>
      <c r="I140" t="s">
        <v>494</v>
      </c>
      <c r="J140" t="s">
        <v>501</v>
      </c>
    </row>
    <row r="141" spans="1:10" hidden="1" x14ac:dyDescent="0.25">
      <c r="A141" t="s">
        <v>155</v>
      </c>
      <c r="B141" t="s">
        <v>6</v>
      </c>
      <c r="C141" t="s">
        <v>7</v>
      </c>
      <c r="D141" t="s">
        <v>476</v>
      </c>
      <c r="E141" s="2">
        <v>43336.017569444448</v>
      </c>
      <c r="F141" t="s">
        <v>299</v>
      </c>
      <c r="G141" t="s">
        <v>318</v>
      </c>
      <c r="H141" t="s">
        <v>433</v>
      </c>
      <c r="I141" t="s">
        <v>553</v>
      </c>
      <c r="J141" t="s">
        <v>497</v>
      </c>
    </row>
    <row r="142" spans="1:10" hidden="1" x14ac:dyDescent="0.25">
      <c r="A142" t="s">
        <v>378</v>
      </c>
      <c r="B142" t="s">
        <v>6</v>
      </c>
      <c r="C142" t="s">
        <v>7</v>
      </c>
      <c r="D142" t="s">
        <v>10</v>
      </c>
      <c r="E142" s="2">
        <v>43336.017627314817</v>
      </c>
      <c r="F142" t="s">
        <v>591</v>
      </c>
      <c r="G142" t="s">
        <v>318</v>
      </c>
      <c r="H142" t="s">
        <v>427</v>
      </c>
      <c r="I142" t="s">
        <v>554</v>
      </c>
      <c r="J142" t="s">
        <v>556</v>
      </c>
    </row>
    <row r="143" spans="1:10" hidden="1" x14ac:dyDescent="0.25">
      <c r="A143" t="s">
        <v>309</v>
      </c>
      <c r="B143" t="s">
        <v>6</v>
      </c>
      <c r="C143" t="s">
        <v>7</v>
      </c>
      <c r="D143" t="s">
        <v>10</v>
      </c>
      <c r="E143" s="2">
        <v>43336.017685185187</v>
      </c>
      <c r="F143" t="s">
        <v>586</v>
      </c>
      <c r="G143" t="s">
        <v>318</v>
      </c>
      <c r="H143" t="s">
        <v>427</v>
      </c>
      <c r="I143" t="s">
        <v>490</v>
      </c>
      <c r="J143" t="s">
        <v>491</v>
      </c>
    </row>
    <row r="144" spans="1:10" hidden="1" x14ac:dyDescent="0.25">
      <c r="A144" t="s">
        <v>28</v>
      </c>
      <c r="B144" t="s">
        <v>6</v>
      </c>
      <c r="C144" t="s">
        <v>7</v>
      </c>
      <c r="D144" t="s">
        <v>476</v>
      </c>
      <c r="E144" s="2">
        <v>43336.017951388887</v>
      </c>
      <c r="F144" t="s">
        <v>590</v>
      </c>
      <c r="G144" t="s">
        <v>427</v>
      </c>
      <c r="H144" t="s">
        <v>385</v>
      </c>
      <c r="I144" t="s">
        <v>494</v>
      </c>
      <c r="J144" t="s">
        <v>497</v>
      </c>
    </row>
    <row r="145" spans="1:10" hidden="1" x14ac:dyDescent="0.25">
      <c r="A145" t="s">
        <v>382</v>
      </c>
      <c r="B145" t="s">
        <v>6</v>
      </c>
      <c r="C145" t="s">
        <v>7</v>
      </c>
      <c r="D145" t="s">
        <v>27</v>
      </c>
      <c r="E145" s="2">
        <v>43336.017951388887</v>
      </c>
      <c r="F145" t="s">
        <v>587</v>
      </c>
      <c r="G145" t="s">
        <v>385</v>
      </c>
      <c r="H145" t="s">
        <v>449</v>
      </c>
      <c r="I145" t="s">
        <v>531</v>
      </c>
      <c r="J145" t="s">
        <v>520</v>
      </c>
    </row>
    <row r="146" spans="1:10" hidden="1" x14ac:dyDescent="0.25">
      <c r="A146" t="s">
        <v>242</v>
      </c>
      <c r="B146" t="s">
        <v>6</v>
      </c>
      <c r="C146" t="s">
        <v>7</v>
      </c>
      <c r="D146" t="s">
        <v>10</v>
      </c>
      <c r="E146" s="2">
        <v>43336.017974537041</v>
      </c>
      <c r="F146" t="s">
        <v>300</v>
      </c>
      <c r="G146" t="s">
        <v>460</v>
      </c>
      <c r="H146" t="s">
        <v>451</v>
      </c>
      <c r="I146" t="s">
        <v>498</v>
      </c>
      <c r="J146" t="s">
        <v>498</v>
      </c>
    </row>
    <row r="147" spans="1:10" hidden="1" x14ac:dyDescent="0.25">
      <c r="A147" t="s">
        <v>261</v>
      </c>
      <c r="B147" t="s">
        <v>6</v>
      </c>
      <c r="C147" t="s">
        <v>7</v>
      </c>
      <c r="D147" t="s">
        <v>10</v>
      </c>
      <c r="E147" s="2">
        <v>43336.018020833333</v>
      </c>
      <c r="F147" t="s">
        <v>302</v>
      </c>
      <c r="G147" t="s">
        <v>462</v>
      </c>
      <c r="H147" t="s">
        <v>434</v>
      </c>
      <c r="I147" t="s">
        <v>528</v>
      </c>
      <c r="J147" t="s">
        <v>529</v>
      </c>
    </row>
    <row r="148" spans="1:10" hidden="1" x14ac:dyDescent="0.25">
      <c r="A148" t="s">
        <v>43</v>
      </c>
      <c r="B148" t="s">
        <v>6</v>
      </c>
      <c r="C148" t="s">
        <v>7</v>
      </c>
      <c r="D148" t="s">
        <v>10</v>
      </c>
      <c r="E148" s="2">
        <v>43336.018113425926</v>
      </c>
      <c r="F148" t="s">
        <v>585</v>
      </c>
      <c r="G148" t="s">
        <v>318</v>
      </c>
      <c r="H148" t="s">
        <v>431</v>
      </c>
      <c r="I148" t="s">
        <v>494</v>
      </c>
      <c r="J148" t="s">
        <v>501</v>
      </c>
    </row>
    <row r="149" spans="1:10" hidden="1" x14ac:dyDescent="0.25">
      <c r="A149" t="s">
        <v>120</v>
      </c>
      <c r="B149" t="s">
        <v>6</v>
      </c>
      <c r="C149" t="s">
        <v>219</v>
      </c>
      <c r="D149" t="s">
        <v>476</v>
      </c>
      <c r="E149" s="2">
        <v>43336.018217592595</v>
      </c>
      <c r="F149" t="s">
        <v>299</v>
      </c>
      <c r="G149" t="s">
        <v>318</v>
      </c>
      <c r="H149" t="s">
        <v>434</v>
      </c>
      <c r="I149" t="s">
        <v>553</v>
      </c>
      <c r="J149" t="s">
        <v>497</v>
      </c>
    </row>
    <row r="150" spans="1:10" hidden="1" x14ac:dyDescent="0.25">
      <c r="A150" t="s">
        <v>324</v>
      </c>
      <c r="B150" t="s">
        <v>6</v>
      </c>
      <c r="C150" t="s">
        <v>7</v>
      </c>
      <c r="D150" t="s">
        <v>10</v>
      </c>
      <c r="E150" s="2">
        <v>43336.018240740741</v>
      </c>
      <c r="F150" t="s">
        <v>591</v>
      </c>
      <c r="G150" t="s">
        <v>318</v>
      </c>
      <c r="H150" t="s">
        <v>428</v>
      </c>
      <c r="I150" t="s">
        <v>554</v>
      </c>
      <c r="J150" t="s">
        <v>556</v>
      </c>
    </row>
    <row r="151" spans="1:10" hidden="1" x14ac:dyDescent="0.25">
      <c r="A151" t="s">
        <v>310</v>
      </c>
      <c r="B151" t="s">
        <v>6</v>
      </c>
      <c r="C151" t="s">
        <v>7</v>
      </c>
      <c r="D151" t="s">
        <v>10</v>
      </c>
      <c r="E151" s="2">
        <v>43336.018287037034</v>
      </c>
      <c r="F151" t="s">
        <v>586</v>
      </c>
      <c r="G151" t="s">
        <v>318</v>
      </c>
      <c r="H151" t="s">
        <v>428</v>
      </c>
      <c r="I151" t="s">
        <v>490</v>
      </c>
      <c r="J151" t="s">
        <v>491</v>
      </c>
    </row>
    <row r="152" spans="1:10" hidden="1" x14ac:dyDescent="0.25">
      <c r="A152" t="s">
        <v>25</v>
      </c>
      <c r="B152" t="s">
        <v>6</v>
      </c>
      <c r="C152" t="s">
        <v>7</v>
      </c>
      <c r="D152" t="s">
        <v>476</v>
      </c>
      <c r="E152" s="2">
        <v>43336.018576388888</v>
      </c>
      <c r="F152" t="s">
        <v>590</v>
      </c>
      <c r="G152" t="s">
        <v>427</v>
      </c>
      <c r="H152" t="s">
        <v>457</v>
      </c>
      <c r="I152" t="s">
        <v>494</v>
      </c>
      <c r="J152" t="s">
        <v>497</v>
      </c>
    </row>
    <row r="153" spans="1:10" hidden="1" x14ac:dyDescent="0.25">
      <c r="A153" t="s">
        <v>267</v>
      </c>
      <c r="B153" t="s">
        <v>6</v>
      </c>
      <c r="C153" t="s">
        <v>7</v>
      </c>
      <c r="D153" t="s">
        <v>10</v>
      </c>
      <c r="E153" s="2">
        <v>43336.018611111111</v>
      </c>
      <c r="F153" t="s">
        <v>300</v>
      </c>
      <c r="G153" t="s">
        <v>460</v>
      </c>
      <c r="H153" t="s">
        <v>452</v>
      </c>
      <c r="I153" t="s">
        <v>498</v>
      </c>
      <c r="J153" t="s">
        <v>498</v>
      </c>
    </row>
    <row r="154" spans="1:10" hidden="1" x14ac:dyDescent="0.25">
      <c r="A154" t="s">
        <v>187</v>
      </c>
      <c r="B154" t="s">
        <v>6</v>
      </c>
      <c r="C154" t="s">
        <v>7</v>
      </c>
      <c r="D154" t="s">
        <v>10</v>
      </c>
      <c r="E154" s="2">
        <v>43336.018622685187</v>
      </c>
      <c r="F154" t="s">
        <v>302</v>
      </c>
      <c r="G154" t="s">
        <v>462</v>
      </c>
      <c r="H154" t="s">
        <v>435</v>
      </c>
      <c r="I154" t="s">
        <v>528</v>
      </c>
      <c r="J154" t="s">
        <v>529</v>
      </c>
    </row>
    <row r="155" spans="1:10" hidden="1" x14ac:dyDescent="0.25">
      <c r="A155" t="s">
        <v>481</v>
      </c>
      <c r="B155" t="s">
        <v>6</v>
      </c>
      <c r="C155" t="s">
        <v>7</v>
      </c>
      <c r="D155" t="s">
        <v>27</v>
      </c>
      <c r="E155" s="2">
        <v>43336.018692129626</v>
      </c>
      <c r="F155" t="s">
        <v>587</v>
      </c>
      <c r="G155" t="s">
        <v>385</v>
      </c>
      <c r="H155" t="s">
        <v>450</v>
      </c>
      <c r="I155" t="s">
        <v>530</v>
      </c>
      <c r="J155" t="s">
        <v>520</v>
      </c>
    </row>
    <row r="156" spans="1:10" hidden="1" x14ac:dyDescent="0.25">
      <c r="A156" t="s">
        <v>42</v>
      </c>
      <c r="B156" t="s">
        <v>6</v>
      </c>
      <c r="C156" t="s">
        <v>7</v>
      </c>
      <c r="D156" t="s">
        <v>10</v>
      </c>
      <c r="E156" s="2">
        <v>43336.018750000003</v>
      </c>
      <c r="F156" t="s">
        <v>585</v>
      </c>
      <c r="G156" t="s">
        <v>318</v>
      </c>
      <c r="H156" t="s">
        <v>432</v>
      </c>
      <c r="I156" t="s">
        <v>494</v>
      </c>
      <c r="J156" t="s">
        <v>501</v>
      </c>
    </row>
    <row r="157" spans="1:10" hidden="1" x14ac:dyDescent="0.25">
      <c r="A157" t="s">
        <v>94</v>
      </c>
      <c r="B157" t="s">
        <v>6</v>
      </c>
      <c r="C157" t="s">
        <v>7</v>
      </c>
      <c r="D157" t="s">
        <v>10</v>
      </c>
      <c r="E157" s="2">
        <v>43336.018854166665</v>
      </c>
      <c r="F157" t="s">
        <v>299</v>
      </c>
      <c r="G157" t="s">
        <v>318</v>
      </c>
      <c r="H157" t="s">
        <v>435</v>
      </c>
      <c r="I157" t="s">
        <v>492</v>
      </c>
      <c r="J157" t="s">
        <v>546</v>
      </c>
    </row>
    <row r="158" spans="1:10" hidden="1" x14ac:dyDescent="0.25">
      <c r="A158" t="s">
        <v>325</v>
      </c>
      <c r="B158" t="s">
        <v>6</v>
      </c>
      <c r="C158" t="s">
        <v>7</v>
      </c>
      <c r="D158" t="s">
        <v>10</v>
      </c>
      <c r="E158" s="2">
        <v>43336.018854166665</v>
      </c>
      <c r="F158" t="s">
        <v>591</v>
      </c>
      <c r="G158" t="s">
        <v>318</v>
      </c>
      <c r="H158" t="s">
        <v>429</v>
      </c>
      <c r="I158" t="s">
        <v>554</v>
      </c>
      <c r="J158" t="s">
        <v>556</v>
      </c>
    </row>
    <row r="159" spans="1:10" hidden="1" x14ac:dyDescent="0.25">
      <c r="A159" t="s">
        <v>311</v>
      </c>
      <c r="B159" t="s">
        <v>6</v>
      </c>
      <c r="C159" t="s">
        <v>7</v>
      </c>
      <c r="D159" t="s">
        <v>10</v>
      </c>
      <c r="E159" s="2">
        <v>43336.018912037034</v>
      </c>
      <c r="F159" t="s">
        <v>586</v>
      </c>
      <c r="G159" t="s">
        <v>318</v>
      </c>
      <c r="H159" t="s">
        <v>429</v>
      </c>
      <c r="I159" t="s">
        <v>490</v>
      </c>
      <c r="J159" t="s">
        <v>491</v>
      </c>
    </row>
    <row r="160" spans="1:10" hidden="1" x14ac:dyDescent="0.25">
      <c r="A160" t="s">
        <v>24</v>
      </c>
      <c r="B160" t="s">
        <v>6</v>
      </c>
      <c r="C160" t="s">
        <v>7</v>
      </c>
      <c r="D160" t="s">
        <v>476</v>
      </c>
      <c r="E160" s="2">
        <v>43336.019201388888</v>
      </c>
      <c r="F160" t="s">
        <v>590</v>
      </c>
      <c r="G160" t="s">
        <v>427</v>
      </c>
      <c r="H160" t="s">
        <v>458</v>
      </c>
      <c r="I160" t="s">
        <v>494</v>
      </c>
      <c r="J160" t="s">
        <v>497</v>
      </c>
    </row>
    <row r="161" spans="1:10" hidden="1" x14ac:dyDescent="0.25">
      <c r="A161" t="s">
        <v>273</v>
      </c>
      <c r="B161" t="s">
        <v>6</v>
      </c>
      <c r="C161" t="s">
        <v>7</v>
      </c>
      <c r="D161" t="s">
        <v>10</v>
      </c>
      <c r="E161" s="2">
        <v>43336.019236111111</v>
      </c>
      <c r="F161" t="s">
        <v>302</v>
      </c>
      <c r="G161" t="s">
        <v>462</v>
      </c>
      <c r="H161" t="s">
        <v>436</v>
      </c>
      <c r="I161" t="s">
        <v>528</v>
      </c>
      <c r="J161" t="s">
        <v>529</v>
      </c>
    </row>
    <row r="162" spans="1:10" hidden="1" x14ac:dyDescent="0.25">
      <c r="A162" t="s">
        <v>480</v>
      </c>
      <c r="B162" t="s">
        <v>6</v>
      </c>
      <c r="C162" t="s">
        <v>7</v>
      </c>
      <c r="D162" t="s">
        <v>10</v>
      </c>
      <c r="E162" s="2">
        <v>43336.01935185185</v>
      </c>
      <c r="F162" t="s">
        <v>587</v>
      </c>
      <c r="G162" t="s">
        <v>385</v>
      </c>
      <c r="H162" t="s">
        <v>451</v>
      </c>
      <c r="I162" t="s">
        <v>527</v>
      </c>
      <c r="J162" t="s">
        <v>520</v>
      </c>
    </row>
    <row r="163" spans="1:10" hidden="1" x14ac:dyDescent="0.25">
      <c r="A163" t="s">
        <v>234</v>
      </c>
      <c r="B163" t="s">
        <v>6</v>
      </c>
      <c r="C163" t="s">
        <v>7</v>
      </c>
      <c r="D163" t="s">
        <v>10</v>
      </c>
      <c r="E163" s="2">
        <v>43336.019444444442</v>
      </c>
      <c r="F163" t="s">
        <v>585</v>
      </c>
      <c r="G163" t="s">
        <v>318</v>
      </c>
      <c r="H163" t="s">
        <v>433</v>
      </c>
      <c r="I163" t="s">
        <v>494</v>
      </c>
      <c r="J163" t="s">
        <v>501</v>
      </c>
    </row>
    <row r="164" spans="1:10" hidden="1" x14ac:dyDescent="0.25">
      <c r="A164" t="s">
        <v>55</v>
      </c>
      <c r="B164" t="s">
        <v>6</v>
      </c>
      <c r="C164" t="s">
        <v>7</v>
      </c>
      <c r="D164" t="s">
        <v>27</v>
      </c>
      <c r="E164" s="2">
        <v>43336.019444444442</v>
      </c>
      <c r="F164" t="s">
        <v>300</v>
      </c>
      <c r="G164" t="s">
        <v>460</v>
      </c>
      <c r="H164" t="s">
        <v>318</v>
      </c>
      <c r="I164" t="s">
        <v>558</v>
      </c>
      <c r="J164" t="s">
        <v>562</v>
      </c>
    </row>
    <row r="165" spans="1:10" hidden="1" x14ac:dyDescent="0.25">
      <c r="A165" t="s">
        <v>312</v>
      </c>
      <c r="B165" t="s">
        <v>6</v>
      </c>
      <c r="C165" t="s">
        <v>7</v>
      </c>
      <c r="D165" t="s">
        <v>10</v>
      </c>
      <c r="E165" s="2">
        <v>43336.019513888888</v>
      </c>
      <c r="F165" t="s">
        <v>586</v>
      </c>
      <c r="G165" t="s">
        <v>318</v>
      </c>
      <c r="H165" t="s">
        <v>430</v>
      </c>
      <c r="I165" t="s">
        <v>490</v>
      </c>
      <c r="J165" t="s">
        <v>491</v>
      </c>
    </row>
    <row r="166" spans="1:10" hidden="1" x14ac:dyDescent="0.25">
      <c r="A166" t="s">
        <v>91</v>
      </c>
      <c r="B166" t="s">
        <v>6</v>
      </c>
      <c r="C166" t="s">
        <v>7</v>
      </c>
      <c r="D166" t="s">
        <v>10</v>
      </c>
      <c r="E166" s="2">
        <v>43336.019513888888</v>
      </c>
      <c r="F166" t="s">
        <v>299</v>
      </c>
      <c r="G166" t="s">
        <v>318</v>
      </c>
      <c r="H166" t="s">
        <v>436</v>
      </c>
      <c r="I166" t="s">
        <v>492</v>
      </c>
      <c r="J166" t="s">
        <v>546</v>
      </c>
    </row>
    <row r="167" spans="1:10" hidden="1" x14ac:dyDescent="0.25">
      <c r="A167" t="s">
        <v>366</v>
      </c>
      <c r="B167" t="s">
        <v>6</v>
      </c>
      <c r="C167" t="s">
        <v>7</v>
      </c>
      <c r="D167" t="s">
        <v>13</v>
      </c>
      <c r="E167" s="2">
        <v>43336.019618055558</v>
      </c>
      <c r="F167" t="s">
        <v>591</v>
      </c>
      <c r="G167" t="s">
        <v>318</v>
      </c>
      <c r="H167" t="s">
        <v>430</v>
      </c>
      <c r="I167" t="s">
        <v>554</v>
      </c>
      <c r="J167" t="s">
        <v>556</v>
      </c>
    </row>
    <row r="168" spans="1:10" hidden="1" x14ac:dyDescent="0.25">
      <c r="A168" t="s">
        <v>192</v>
      </c>
      <c r="B168" t="s">
        <v>6</v>
      </c>
      <c r="C168" t="s">
        <v>7</v>
      </c>
      <c r="D168" t="s">
        <v>476</v>
      </c>
      <c r="E168" s="2">
        <v>43336.019872685189</v>
      </c>
      <c r="F168" t="s">
        <v>302</v>
      </c>
      <c r="G168" t="s">
        <v>462</v>
      </c>
      <c r="H168" t="s">
        <v>437</v>
      </c>
      <c r="I168" t="s">
        <v>525</v>
      </c>
      <c r="J168" t="s">
        <v>526</v>
      </c>
    </row>
    <row r="169" spans="1:10" hidden="1" x14ac:dyDescent="0.25">
      <c r="A169" t="s">
        <v>238</v>
      </c>
      <c r="B169" t="s">
        <v>6</v>
      </c>
      <c r="C169" t="s">
        <v>7</v>
      </c>
      <c r="D169" t="s">
        <v>13</v>
      </c>
      <c r="E169" s="2">
        <v>43336.019965277781</v>
      </c>
      <c r="F169" t="s">
        <v>590</v>
      </c>
      <c r="G169" t="s">
        <v>427</v>
      </c>
      <c r="H169" t="s">
        <v>459</v>
      </c>
      <c r="I169" t="s">
        <v>494</v>
      </c>
      <c r="J169" t="s">
        <v>497</v>
      </c>
    </row>
    <row r="170" spans="1:10" hidden="1" x14ac:dyDescent="0.25">
      <c r="A170" t="s">
        <v>486</v>
      </c>
      <c r="B170" t="s">
        <v>6</v>
      </c>
      <c r="C170" t="s">
        <v>7</v>
      </c>
      <c r="D170" t="s">
        <v>10</v>
      </c>
      <c r="E170" s="2">
        <v>43336.019965277781</v>
      </c>
      <c r="F170" t="s">
        <v>587</v>
      </c>
      <c r="G170" t="s">
        <v>385</v>
      </c>
      <c r="H170" t="s">
        <v>452</v>
      </c>
      <c r="I170" t="s">
        <v>524</v>
      </c>
      <c r="J170" t="s">
        <v>520</v>
      </c>
    </row>
    <row r="171" spans="1:10" hidden="1" x14ac:dyDescent="0.25">
      <c r="A171" t="s">
        <v>294</v>
      </c>
      <c r="B171" t="s">
        <v>6</v>
      </c>
      <c r="C171" t="s">
        <v>7</v>
      </c>
      <c r="D171" t="s">
        <v>10</v>
      </c>
      <c r="E171" s="2">
        <v>43336.020046296297</v>
      </c>
      <c r="F171" t="s">
        <v>585</v>
      </c>
      <c r="G171" t="s">
        <v>318</v>
      </c>
      <c r="H171" t="s">
        <v>434</v>
      </c>
      <c r="I171" t="s">
        <v>494</v>
      </c>
      <c r="J171" t="s">
        <v>501</v>
      </c>
    </row>
    <row r="172" spans="1:10" hidden="1" x14ac:dyDescent="0.25">
      <c r="A172" t="s">
        <v>107</v>
      </c>
      <c r="B172" t="s">
        <v>6</v>
      </c>
      <c r="C172" t="s">
        <v>7</v>
      </c>
      <c r="D172" t="s">
        <v>10</v>
      </c>
      <c r="E172" s="2">
        <v>43336.02008101852</v>
      </c>
      <c r="F172" t="s">
        <v>300</v>
      </c>
      <c r="G172" t="s">
        <v>460</v>
      </c>
      <c r="H172" t="s">
        <v>323</v>
      </c>
      <c r="I172" t="s">
        <v>494</v>
      </c>
      <c r="J172" t="s">
        <v>13</v>
      </c>
    </row>
    <row r="173" spans="1:10" hidden="1" x14ac:dyDescent="0.25">
      <c r="A173" t="s">
        <v>313</v>
      </c>
      <c r="B173" t="s">
        <v>6</v>
      </c>
      <c r="C173" t="s">
        <v>7</v>
      </c>
      <c r="D173" t="s">
        <v>10</v>
      </c>
      <c r="E173" s="2">
        <v>43336.020127314812</v>
      </c>
      <c r="F173" t="s">
        <v>586</v>
      </c>
      <c r="G173" t="s">
        <v>318</v>
      </c>
      <c r="H173" t="s">
        <v>431</v>
      </c>
      <c r="I173" t="s">
        <v>490</v>
      </c>
      <c r="J173" t="s">
        <v>491</v>
      </c>
    </row>
    <row r="174" spans="1:10" hidden="1" x14ac:dyDescent="0.25">
      <c r="A174" t="s">
        <v>89</v>
      </c>
      <c r="B174" t="s">
        <v>6</v>
      </c>
      <c r="C174" t="s">
        <v>7</v>
      </c>
      <c r="D174" t="s">
        <v>10</v>
      </c>
      <c r="E174" s="2">
        <v>43336.020162037035</v>
      </c>
      <c r="F174" t="s">
        <v>299</v>
      </c>
      <c r="G174" t="s">
        <v>318</v>
      </c>
      <c r="H174" t="s">
        <v>437</v>
      </c>
      <c r="I174" t="s">
        <v>492</v>
      </c>
      <c r="J174" t="s">
        <v>546</v>
      </c>
    </row>
    <row r="175" spans="1:10" hidden="1" x14ac:dyDescent="0.25">
      <c r="A175" t="s">
        <v>379</v>
      </c>
      <c r="B175" t="s">
        <v>6</v>
      </c>
      <c r="C175" t="s">
        <v>7</v>
      </c>
      <c r="D175" t="s">
        <v>13</v>
      </c>
      <c r="E175" s="2">
        <v>43336.020381944443</v>
      </c>
      <c r="F175" t="s">
        <v>591</v>
      </c>
      <c r="G175" t="s">
        <v>318</v>
      </c>
      <c r="H175" t="s">
        <v>431</v>
      </c>
      <c r="I175" t="s">
        <v>554</v>
      </c>
      <c r="J175" t="s">
        <v>556</v>
      </c>
    </row>
    <row r="176" spans="1:10" hidden="1" x14ac:dyDescent="0.25">
      <c r="A176" t="s">
        <v>183</v>
      </c>
      <c r="B176" t="s">
        <v>6</v>
      </c>
      <c r="C176" t="s">
        <v>7</v>
      </c>
      <c r="D176" t="s">
        <v>476</v>
      </c>
      <c r="E176" s="2">
        <v>43336.020462962966</v>
      </c>
      <c r="F176" t="s">
        <v>302</v>
      </c>
      <c r="G176" t="s">
        <v>462</v>
      </c>
      <c r="H176" t="s">
        <v>438</v>
      </c>
      <c r="I176" t="s">
        <v>511</v>
      </c>
      <c r="J176" t="s">
        <v>522</v>
      </c>
    </row>
    <row r="177" spans="1:10" hidden="1" x14ac:dyDescent="0.25">
      <c r="A177" t="s">
        <v>387</v>
      </c>
      <c r="B177" t="s">
        <v>6</v>
      </c>
      <c r="C177" t="s">
        <v>7</v>
      </c>
      <c r="D177" t="s">
        <v>10</v>
      </c>
      <c r="E177" s="2">
        <v>43336.020578703705</v>
      </c>
      <c r="F177" t="s">
        <v>587</v>
      </c>
      <c r="G177" t="s">
        <v>385</v>
      </c>
      <c r="H177" t="s">
        <v>318</v>
      </c>
      <c r="I177" t="s">
        <v>490</v>
      </c>
      <c r="J177" t="s">
        <v>491</v>
      </c>
    </row>
    <row r="178" spans="1:10" hidden="1" x14ac:dyDescent="0.25">
      <c r="A178" t="s">
        <v>295</v>
      </c>
      <c r="B178" t="s">
        <v>6</v>
      </c>
      <c r="C178" t="s">
        <v>7</v>
      </c>
      <c r="D178" t="s">
        <v>10</v>
      </c>
      <c r="E178" s="2">
        <v>43336.02065972222</v>
      </c>
      <c r="F178" t="s">
        <v>585</v>
      </c>
      <c r="G178" t="s">
        <v>318</v>
      </c>
      <c r="H178" t="s">
        <v>435</v>
      </c>
      <c r="I178" t="s">
        <v>494</v>
      </c>
      <c r="J178" t="s">
        <v>501</v>
      </c>
    </row>
    <row r="179" spans="1:10" hidden="1" x14ac:dyDescent="0.25">
      <c r="A179" t="s">
        <v>93</v>
      </c>
      <c r="B179" t="s">
        <v>6</v>
      </c>
      <c r="C179" t="s">
        <v>7</v>
      </c>
      <c r="D179" t="s">
        <v>10</v>
      </c>
      <c r="E179" s="2">
        <v>43336.020694444444</v>
      </c>
      <c r="F179" t="s">
        <v>300</v>
      </c>
      <c r="G179" t="s">
        <v>460</v>
      </c>
      <c r="H179" t="s">
        <v>385</v>
      </c>
      <c r="I179" t="s">
        <v>552</v>
      </c>
      <c r="J179" t="s">
        <v>565</v>
      </c>
    </row>
    <row r="180" spans="1:10" hidden="1" x14ac:dyDescent="0.25">
      <c r="A180" t="s">
        <v>314</v>
      </c>
      <c r="B180" t="s">
        <v>6</v>
      </c>
      <c r="C180" t="s">
        <v>7</v>
      </c>
      <c r="D180" t="s">
        <v>10</v>
      </c>
      <c r="E180" s="2">
        <v>43336.020740740743</v>
      </c>
      <c r="F180" t="s">
        <v>586</v>
      </c>
      <c r="G180" t="s">
        <v>318</v>
      </c>
      <c r="H180" t="s">
        <v>432</v>
      </c>
      <c r="I180" t="s">
        <v>490</v>
      </c>
      <c r="J180" t="s">
        <v>491</v>
      </c>
    </row>
    <row r="181" spans="1:10" hidden="1" x14ac:dyDescent="0.25">
      <c r="A181" t="s">
        <v>23</v>
      </c>
      <c r="B181" t="s">
        <v>6</v>
      </c>
      <c r="C181" t="s">
        <v>7</v>
      </c>
      <c r="D181" t="s">
        <v>13</v>
      </c>
      <c r="E181" s="2">
        <v>43336.020752314813</v>
      </c>
      <c r="F181" t="s">
        <v>590</v>
      </c>
      <c r="G181" t="s">
        <v>427</v>
      </c>
      <c r="H181" t="s">
        <v>460</v>
      </c>
      <c r="I181" t="s">
        <v>494</v>
      </c>
      <c r="J181" t="s">
        <v>497</v>
      </c>
    </row>
    <row r="182" spans="1:10" hidden="1" x14ac:dyDescent="0.25">
      <c r="A182" t="s">
        <v>92</v>
      </c>
      <c r="B182" t="s">
        <v>6</v>
      </c>
      <c r="C182" t="s">
        <v>7</v>
      </c>
      <c r="D182" t="s">
        <v>10</v>
      </c>
      <c r="E182" s="2">
        <v>43336.020833333336</v>
      </c>
      <c r="F182" t="s">
        <v>299</v>
      </c>
      <c r="G182" t="s">
        <v>318</v>
      </c>
      <c r="H182" t="s">
        <v>438</v>
      </c>
      <c r="I182" t="s">
        <v>492</v>
      </c>
      <c r="J182" t="s">
        <v>546</v>
      </c>
    </row>
    <row r="183" spans="1:10" hidden="1" x14ac:dyDescent="0.25">
      <c r="A183" t="s">
        <v>274</v>
      </c>
      <c r="B183" t="s">
        <v>6</v>
      </c>
      <c r="C183" t="s">
        <v>7</v>
      </c>
      <c r="D183" t="s">
        <v>476</v>
      </c>
      <c r="E183" s="2">
        <v>43336.021064814813</v>
      </c>
      <c r="F183" t="s">
        <v>302</v>
      </c>
      <c r="G183" t="s">
        <v>462</v>
      </c>
      <c r="H183" t="s">
        <v>439</v>
      </c>
      <c r="I183" t="s">
        <v>511</v>
      </c>
      <c r="J183" t="s">
        <v>518</v>
      </c>
    </row>
    <row r="184" spans="1:10" hidden="1" x14ac:dyDescent="0.25">
      <c r="A184" t="s">
        <v>418</v>
      </c>
      <c r="B184" t="s">
        <v>6</v>
      </c>
      <c r="C184" t="s">
        <v>7</v>
      </c>
      <c r="D184" t="s">
        <v>13</v>
      </c>
      <c r="E184" s="2">
        <v>43336.021180555559</v>
      </c>
      <c r="F184" t="s">
        <v>591</v>
      </c>
      <c r="G184" t="s">
        <v>318</v>
      </c>
      <c r="H184" t="s">
        <v>432</v>
      </c>
      <c r="I184" t="s">
        <v>554</v>
      </c>
      <c r="J184" t="s">
        <v>556</v>
      </c>
    </row>
    <row r="185" spans="1:10" hidden="1" x14ac:dyDescent="0.25">
      <c r="A185" t="s">
        <v>369</v>
      </c>
      <c r="B185" t="s">
        <v>6</v>
      </c>
      <c r="C185" t="s">
        <v>7</v>
      </c>
      <c r="D185" t="s">
        <v>10</v>
      </c>
      <c r="E185" s="2">
        <v>43336.021192129629</v>
      </c>
      <c r="F185" t="s">
        <v>587</v>
      </c>
      <c r="G185" t="s">
        <v>385</v>
      </c>
      <c r="H185" t="s">
        <v>323</v>
      </c>
      <c r="I185" t="s">
        <v>490</v>
      </c>
      <c r="J185" t="s">
        <v>491</v>
      </c>
    </row>
    <row r="186" spans="1:10" hidden="1" x14ac:dyDescent="0.25">
      <c r="A186" t="s">
        <v>178</v>
      </c>
      <c r="B186" t="s">
        <v>6</v>
      </c>
      <c r="C186" t="s">
        <v>7</v>
      </c>
      <c r="D186" t="s">
        <v>10</v>
      </c>
      <c r="E186" s="2">
        <v>43336.021296296298</v>
      </c>
      <c r="F186" t="s">
        <v>585</v>
      </c>
      <c r="G186" t="s">
        <v>318</v>
      </c>
      <c r="H186" t="s">
        <v>436</v>
      </c>
      <c r="I186" t="s">
        <v>494</v>
      </c>
      <c r="J186" t="s">
        <v>501</v>
      </c>
    </row>
    <row r="187" spans="1:10" hidden="1" x14ac:dyDescent="0.25">
      <c r="A187" t="s">
        <v>68</v>
      </c>
      <c r="B187" t="s">
        <v>6</v>
      </c>
      <c r="C187" t="s">
        <v>7</v>
      </c>
      <c r="D187" t="s">
        <v>10</v>
      </c>
      <c r="E187" s="2">
        <v>43336.021319444444</v>
      </c>
      <c r="F187" t="s">
        <v>300</v>
      </c>
      <c r="G187" t="s">
        <v>460</v>
      </c>
      <c r="H187" t="s">
        <v>457</v>
      </c>
      <c r="I187" t="s">
        <v>552</v>
      </c>
      <c r="J187" t="s">
        <v>568</v>
      </c>
    </row>
    <row r="188" spans="1:10" hidden="1" x14ac:dyDescent="0.25">
      <c r="A188" t="s">
        <v>315</v>
      </c>
      <c r="B188" t="s">
        <v>6</v>
      </c>
      <c r="C188" t="s">
        <v>7</v>
      </c>
      <c r="D188" t="s">
        <v>10</v>
      </c>
      <c r="E188" s="2">
        <v>43336.021354166667</v>
      </c>
      <c r="F188" t="s">
        <v>586</v>
      </c>
      <c r="G188" t="s">
        <v>318</v>
      </c>
      <c r="H188" t="s">
        <v>433</v>
      </c>
      <c r="I188" t="s">
        <v>490</v>
      </c>
      <c r="J188" t="s">
        <v>491</v>
      </c>
    </row>
    <row r="189" spans="1:10" hidden="1" x14ac:dyDescent="0.25">
      <c r="A189" t="s">
        <v>22</v>
      </c>
      <c r="B189" t="s">
        <v>6</v>
      </c>
      <c r="C189" t="s">
        <v>7</v>
      </c>
      <c r="D189" t="s">
        <v>476</v>
      </c>
      <c r="E189" s="2">
        <v>43336.021377314813</v>
      </c>
      <c r="F189" t="s">
        <v>590</v>
      </c>
      <c r="G189" t="s">
        <v>427</v>
      </c>
      <c r="H189" t="s">
        <v>461</v>
      </c>
      <c r="I189" t="s">
        <v>494</v>
      </c>
      <c r="J189" t="s">
        <v>497</v>
      </c>
    </row>
    <row r="190" spans="1:10" hidden="1" x14ac:dyDescent="0.25">
      <c r="A190" t="s">
        <v>69</v>
      </c>
      <c r="B190" t="s">
        <v>6</v>
      </c>
      <c r="C190" t="s">
        <v>7</v>
      </c>
      <c r="D190" t="s">
        <v>10</v>
      </c>
      <c r="E190" s="2">
        <v>43336.021504629629</v>
      </c>
      <c r="F190" t="s">
        <v>299</v>
      </c>
      <c r="G190" t="s">
        <v>318</v>
      </c>
      <c r="H190" t="s">
        <v>439</v>
      </c>
      <c r="I190" t="s">
        <v>492</v>
      </c>
      <c r="J190" t="s">
        <v>546</v>
      </c>
    </row>
    <row r="191" spans="1:10" hidden="1" x14ac:dyDescent="0.25">
      <c r="A191" t="s">
        <v>145</v>
      </c>
      <c r="B191" t="s">
        <v>6</v>
      </c>
      <c r="C191" t="s">
        <v>7</v>
      </c>
      <c r="D191" t="s">
        <v>476</v>
      </c>
      <c r="E191" s="2">
        <v>43336.021643518521</v>
      </c>
      <c r="F191" t="s">
        <v>302</v>
      </c>
      <c r="G191" t="s">
        <v>462</v>
      </c>
      <c r="H191" t="s">
        <v>440</v>
      </c>
      <c r="I191" t="s">
        <v>511</v>
      </c>
      <c r="J191" t="s">
        <v>517</v>
      </c>
    </row>
    <row r="192" spans="1:10" hidden="1" x14ac:dyDescent="0.25">
      <c r="A192" t="s">
        <v>402</v>
      </c>
      <c r="B192" t="s">
        <v>306</v>
      </c>
      <c r="C192" t="s">
        <v>306</v>
      </c>
      <c r="D192" t="s">
        <v>307</v>
      </c>
      <c r="E192" s="2">
        <v>43336.021736111114</v>
      </c>
      <c r="F192" t="s">
        <v>591</v>
      </c>
      <c r="G192" t="s">
        <v>318</v>
      </c>
      <c r="H192" t="s">
        <v>433</v>
      </c>
      <c r="I192" t="s">
        <v>554</v>
      </c>
      <c r="J192" t="s">
        <v>556</v>
      </c>
    </row>
    <row r="193" spans="1:10" hidden="1" x14ac:dyDescent="0.25">
      <c r="A193" t="s">
        <v>319</v>
      </c>
      <c r="B193" t="s">
        <v>306</v>
      </c>
      <c r="C193" t="s">
        <v>306</v>
      </c>
      <c r="D193" t="s">
        <v>307</v>
      </c>
      <c r="E193" s="2">
        <v>43336.021736111114</v>
      </c>
      <c r="F193" t="s">
        <v>587</v>
      </c>
      <c r="G193" t="s">
        <v>385</v>
      </c>
      <c r="H193" t="s">
        <v>385</v>
      </c>
      <c r="I193" t="s">
        <v>490</v>
      </c>
      <c r="J193" t="s">
        <v>491</v>
      </c>
    </row>
    <row r="194" spans="1:10" hidden="1" x14ac:dyDescent="0.25">
      <c r="A194" t="s">
        <v>40</v>
      </c>
      <c r="B194" t="s">
        <v>306</v>
      </c>
      <c r="C194" t="s">
        <v>306</v>
      </c>
      <c r="D194" t="s">
        <v>307</v>
      </c>
      <c r="E194" s="2">
        <v>43336.021851851852</v>
      </c>
      <c r="F194" t="s">
        <v>585</v>
      </c>
      <c r="G194" t="s">
        <v>318</v>
      </c>
      <c r="H194" t="s">
        <v>437</v>
      </c>
      <c r="I194" t="s">
        <v>494</v>
      </c>
      <c r="J194" t="s">
        <v>501</v>
      </c>
    </row>
    <row r="195" spans="1:10" hidden="1" x14ac:dyDescent="0.25">
      <c r="A195" t="s">
        <v>95</v>
      </c>
      <c r="B195" t="s">
        <v>6</v>
      </c>
      <c r="C195" t="s">
        <v>7</v>
      </c>
      <c r="D195" t="s">
        <v>10</v>
      </c>
      <c r="E195" s="2">
        <v>43336.022152777776</v>
      </c>
      <c r="F195" t="s">
        <v>300</v>
      </c>
      <c r="G195" t="s">
        <v>460</v>
      </c>
      <c r="H195" t="s">
        <v>458</v>
      </c>
      <c r="I195" t="s">
        <v>552</v>
      </c>
      <c r="J195" t="s">
        <v>568</v>
      </c>
    </row>
    <row r="196" spans="1:10" hidden="1" x14ac:dyDescent="0.25">
      <c r="A196" t="s">
        <v>316</v>
      </c>
      <c r="B196" t="s">
        <v>6</v>
      </c>
      <c r="C196" t="s">
        <v>7</v>
      </c>
      <c r="D196" t="s">
        <v>10</v>
      </c>
      <c r="E196" s="2">
        <v>43336.022164351853</v>
      </c>
      <c r="F196" t="s">
        <v>586</v>
      </c>
      <c r="G196" t="s">
        <v>318</v>
      </c>
      <c r="H196" t="s">
        <v>434</v>
      </c>
      <c r="I196" t="s">
        <v>490</v>
      </c>
      <c r="J196" t="s">
        <v>491</v>
      </c>
    </row>
    <row r="197" spans="1:10" hidden="1" x14ac:dyDescent="0.25">
      <c r="A197" t="s">
        <v>152</v>
      </c>
      <c r="B197" t="s">
        <v>6</v>
      </c>
      <c r="C197" t="s">
        <v>7</v>
      </c>
      <c r="D197" t="s">
        <v>10</v>
      </c>
      <c r="E197" s="2">
        <v>43336.022199074076</v>
      </c>
      <c r="F197" t="s">
        <v>299</v>
      </c>
      <c r="G197" t="s">
        <v>318</v>
      </c>
      <c r="H197" t="s">
        <v>440</v>
      </c>
      <c r="I197" t="s">
        <v>492</v>
      </c>
      <c r="J197" t="s">
        <v>546</v>
      </c>
    </row>
    <row r="198" spans="1:10" hidden="1" x14ac:dyDescent="0.25">
      <c r="A198" t="s">
        <v>142</v>
      </c>
      <c r="B198" t="s">
        <v>6</v>
      </c>
      <c r="C198" t="s">
        <v>7</v>
      </c>
      <c r="D198" t="s">
        <v>476</v>
      </c>
      <c r="E198" s="2">
        <v>43336.022210648145</v>
      </c>
      <c r="F198" t="s">
        <v>302</v>
      </c>
      <c r="G198" t="s">
        <v>462</v>
      </c>
      <c r="H198" t="s">
        <v>441</v>
      </c>
      <c r="I198" t="s">
        <v>511</v>
      </c>
      <c r="J198" t="s">
        <v>515</v>
      </c>
    </row>
    <row r="199" spans="1:10" hidden="1" x14ac:dyDescent="0.25">
      <c r="A199" t="s">
        <v>21</v>
      </c>
      <c r="B199" t="s">
        <v>6</v>
      </c>
      <c r="C199" t="s">
        <v>7</v>
      </c>
      <c r="D199" t="s">
        <v>13</v>
      </c>
      <c r="E199" s="2">
        <v>43336.022303240738</v>
      </c>
      <c r="F199" t="s">
        <v>590</v>
      </c>
      <c r="G199" t="s">
        <v>427</v>
      </c>
      <c r="H199" t="s">
        <v>462</v>
      </c>
      <c r="I199" t="s">
        <v>494</v>
      </c>
      <c r="J199" t="s">
        <v>497</v>
      </c>
    </row>
    <row r="200" spans="1:10" hidden="1" x14ac:dyDescent="0.25">
      <c r="A200" t="s">
        <v>320</v>
      </c>
      <c r="B200" t="s">
        <v>6</v>
      </c>
      <c r="C200" t="s">
        <v>7</v>
      </c>
      <c r="D200" t="s">
        <v>10</v>
      </c>
      <c r="E200" s="2">
        <v>43336.022326388891</v>
      </c>
      <c r="F200" t="s">
        <v>587</v>
      </c>
      <c r="G200" t="s">
        <v>385</v>
      </c>
      <c r="H200" t="s">
        <v>457</v>
      </c>
      <c r="I200" t="s">
        <v>490</v>
      </c>
      <c r="J200" t="s">
        <v>491</v>
      </c>
    </row>
    <row r="201" spans="1:10" hidden="1" x14ac:dyDescent="0.25">
      <c r="A201" t="s">
        <v>149</v>
      </c>
      <c r="B201" t="s">
        <v>6</v>
      </c>
      <c r="C201" t="s">
        <v>7</v>
      </c>
      <c r="D201" t="s">
        <v>10</v>
      </c>
      <c r="E201" s="2">
        <v>43336.022453703707</v>
      </c>
      <c r="F201" t="s">
        <v>585</v>
      </c>
      <c r="G201" t="s">
        <v>318</v>
      </c>
      <c r="H201" t="s">
        <v>438</v>
      </c>
      <c r="I201" t="s">
        <v>494</v>
      </c>
      <c r="J201" t="s">
        <v>501</v>
      </c>
    </row>
    <row r="202" spans="1:10" hidden="1" x14ac:dyDescent="0.25">
      <c r="A202" t="s">
        <v>403</v>
      </c>
      <c r="B202" t="s">
        <v>6</v>
      </c>
      <c r="C202" t="s">
        <v>7</v>
      </c>
      <c r="D202" t="s">
        <v>13</v>
      </c>
      <c r="E202" s="2">
        <v>43336.022453703707</v>
      </c>
      <c r="F202" t="s">
        <v>591</v>
      </c>
      <c r="G202" t="s">
        <v>318</v>
      </c>
      <c r="H202" t="s">
        <v>434</v>
      </c>
      <c r="I202" t="s">
        <v>554</v>
      </c>
      <c r="J202" t="s">
        <v>556</v>
      </c>
    </row>
    <row r="203" spans="1:10" hidden="1" x14ac:dyDescent="0.25">
      <c r="A203" t="s">
        <v>58</v>
      </c>
      <c r="B203" t="s">
        <v>6</v>
      </c>
      <c r="C203" t="s">
        <v>7</v>
      </c>
      <c r="D203" t="s">
        <v>10</v>
      </c>
      <c r="E203" s="2">
        <v>43336.022777777776</v>
      </c>
      <c r="F203" t="s">
        <v>300</v>
      </c>
      <c r="G203" t="s">
        <v>460</v>
      </c>
      <c r="H203" t="s">
        <v>459</v>
      </c>
      <c r="I203" t="s">
        <v>552</v>
      </c>
      <c r="J203" t="s">
        <v>568</v>
      </c>
    </row>
    <row r="204" spans="1:10" hidden="1" x14ac:dyDescent="0.25">
      <c r="A204" t="s">
        <v>411</v>
      </c>
      <c r="B204" t="s">
        <v>6</v>
      </c>
      <c r="C204" t="s">
        <v>7</v>
      </c>
      <c r="D204" t="s">
        <v>10</v>
      </c>
      <c r="E204" s="2">
        <v>43336.022800925923</v>
      </c>
      <c r="F204" t="s">
        <v>586</v>
      </c>
      <c r="G204" t="s">
        <v>318</v>
      </c>
      <c r="H204" t="s">
        <v>435</v>
      </c>
      <c r="I204" t="s">
        <v>490</v>
      </c>
      <c r="J204" t="s">
        <v>491</v>
      </c>
    </row>
    <row r="205" spans="1:10" hidden="1" x14ac:dyDescent="0.25">
      <c r="A205" t="s">
        <v>140</v>
      </c>
      <c r="B205" t="s">
        <v>6</v>
      </c>
      <c r="C205" t="s">
        <v>7</v>
      </c>
      <c r="D205" t="s">
        <v>476</v>
      </c>
      <c r="E205" s="2">
        <v>43336.022893518515</v>
      </c>
      <c r="F205" t="s">
        <v>302</v>
      </c>
      <c r="G205" t="s">
        <v>462</v>
      </c>
      <c r="H205" t="s">
        <v>442</v>
      </c>
      <c r="I205" t="s">
        <v>511</v>
      </c>
      <c r="J205" t="s">
        <v>514</v>
      </c>
    </row>
    <row r="206" spans="1:10" hidden="1" x14ac:dyDescent="0.25">
      <c r="A206" t="s">
        <v>67</v>
      </c>
      <c r="B206" t="s">
        <v>6</v>
      </c>
      <c r="C206" t="s">
        <v>7</v>
      </c>
      <c r="D206" t="s">
        <v>10</v>
      </c>
      <c r="E206" s="2">
        <v>43336.022951388892</v>
      </c>
      <c r="F206" t="s">
        <v>299</v>
      </c>
      <c r="G206" t="s">
        <v>318</v>
      </c>
      <c r="H206" t="s">
        <v>441</v>
      </c>
      <c r="I206" t="s">
        <v>492</v>
      </c>
      <c r="J206" t="s">
        <v>546</v>
      </c>
    </row>
    <row r="207" spans="1:10" hidden="1" x14ac:dyDescent="0.25">
      <c r="A207" t="s">
        <v>176</v>
      </c>
      <c r="B207" t="s">
        <v>6</v>
      </c>
      <c r="C207" t="s">
        <v>7</v>
      </c>
      <c r="D207" t="s">
        <v>27</v>
      </c>
      <c r="E207" s="2">
        <v>43336.023182870369</v>
      </c>
      <c r="F207" t="s">
        <v>585</v>
      </c>
      <c r="G207" t="s">
        <v>318</v>
      </c>
      <c r="H207" t="s">
        <v>439</v>
      </c>
      <c r="I207" t="s">
        <v>494</v>
      </c>
      <c r="J207" t="s">
        <v>495</v>
      </c>
    </row>
    <row r="208" spans="1:10" hidden="1" x14ac:dyDescent="0.25">
      <c r="A208" t="s">
        <v>416</v>
      </c>
      <c r="B208" t="s">
        <v>6</v>
      </c>
      <c r="C208" t="s">
        <v>7</v>
      </c>
      <c r="D208" t="s">
        <v>13</v>
      </c>
      <c r="E208" s="2">
        <v>43336.023194444446</v>
      </c>
      <c r="F208" t="s">
        <v>591</v>
      </c>
      <c r="G208" t="s">
        <v>318</v>
      </c>
      <c r="H208" t="s">
        <v>435</v>
      </c>
      <c r="I208" t="s">
        <v>554</v>
      </c>
      <c r="J208" t="s">
        <v>556</v>
      </c>
    </row>
    <row r="209" spans="1:10" hidden="1" x14ac:dyDescent="0.25">
      <c r="A209" t="s">
        <v>20</v>
      </c>
      <c r="B209" t="s">
        <v>6</v>
      </c>
      <c r="C209" t="s">
        <v>7</v>
      </c>
      <c r="D209" t="s">
        <v>27</v>
      </c>
      <c r="E209" s="2">
        <v>43336.023206018515</v>
      </c>
      <c r="F209" t="s">
        <v>590</v>
      </c>
      <c r="G209" t="s">
        <v>427</v>
      </c>
      <c r="H209" t="s">
        <v>453</v>
      </c>
      <c r="I209" t="s">
        <v>494</v>
      </c>
      <c r="J209" t="s">
        <v>13</v>
      </c>
    </row>
    <row r="210" spans="1:10" hidden="1" x14ac:dyDescent="0.25">
      <c r="A210" t="s">
        <v>359</v>
      </c>
      <c r="B210" t="s">
        <v>6</v>
      </c>
      <c r="C210" t="s">
        <v>7</v>
      </c>
      <c r="D210" t="s">
        <v>27</v>
      </c>
      <c r="E210" s="2">
        <v>43336.023206018515</v>
      </c>
      <c r="F210" t="s">
        <v>587</v>
      </c>
      <c r="G210" t="s">
        <v>385</v>
      </c>
      <c r="H210" t="s">
        <v>458</v>
      </c>
      <c r="I210" t="s">
        <v>490</v>
      </c>
      <c r="J210" t="s">
        <v>491</v>
      </c>
    </row>
    <row r="211" spans="1:10" hidden="1" x14ac:dyDescent="0.25">
      <c r="A211" t="s">
        <v>54</v>
      </c>
      <c r="B211" t="s">
        <v>6</v>
      </c>
      <c r="C211" t="s">
        <v>7</v>
      </c>
      <c r="D211" t="s">
        <v>10</v>
      </c>
      <c r="E211" s="2">
        <v>43336.0233912037</v>
      </c>
      <c r="F211" t="s">
        <v>300</v>
      </c>
      <c r="G211" t="s">
        <v>460</v>
      </c>
      <c r="H211" t="s">
        <v>460</v>
      </c>
      <c r="I211" t="s">
        <v>552</v>
      </c>
      <c r="J211" t="s">
        <v>568</v>
      </c>
    </row>
    <row r="212" spans="1:10" hidden="1" x14ac:dyDescent="0.25">
      <c r="A212" t="s">
        <v>412</v>
      </c>
      <c r="B212" t="s">
        <v>6</v>
      </c>
      <c r="C212" t="s">
        <v>7</v>
      </c>
      <c r="D212" t="s">
        <v>10</v>
      </c>
      <c r="E212" s="2">
        <v>43336.0234375</v>
      </c>
      <c r="F212" t="s">
        <v>586</v>
      </c>
      <c r="G212" t="s">
        <v>318</v>
      </c>
      <c r="H212" t="s">
        <v>436</v>
      </c>
      <c r="I212" t="s">
        <v>490</v>
      </c>
      <c r="J212" t="s">
        <v>491</v>
      </c>
    </row>
    <row r="213" spans="1:10" hidden="1" x14ac:dyDescent="0.25">
      <c r="A213" t="s">
        <v>138</v>
      </c>
      <c r="B213" t="s">
        <v>6</v>
      </c>
      <c r="C213" t="s">
        <v>7</v>
      </c>
      <c r="D213" t="s">
        <v>476</v>
      </c>
      <c r="E213" s="2">
        <v>43336.023472222223</v>
      </c>
      <c r="F213" t="s">
        <v>302</v>
      </c>
      <c r="G213" t="s">
        <v>462</v>
      </c>
      <c r="H213" t="s">
        <v>443</v>
      </c>
      <c r="I213" t="s">
        <v>511</v>
      </c>
      <c r="J213" t="s">
        <v>512</v>
      </c>
    </row>
    <row r="214" spans="1:10" hidden="1" x14ac:dyDescent="0.25">
      <c r="A214" t="s">
        <v>39</v>
      </c>
      <c r="B214" t="s">
        <v>6</v>
      </c>
      <c r="C214" t="s">
        <v>7</v>
      </c>
      <c r="D214" t="s">
        <v>10</v>
      </c>
      <c r="E214" s="2">
        <v>43336.02380787037</v>
      </c>
      <c r="F214" t="s">
        <v>585</v>
      </c>
      <c r="G214" t="s">
        <v>318</v>
      </c>
      <c r="H214" t="s">
        <v>440</v>
      </c>
      <c r="I214" t="s">
        <v>494</v>
      </c>
      <c r="J214" t="s">
        <v>495</v>
      </c>
    </row>
    <row r="215" spans="1:10" hidden="1" x14ac:dyDescent="0.25">
      <c r="A215" t="s">
        <v>360</v>
      </c>
      <c r="B215" t="s">
        <v>6</v>
      </c>
      <c r="C215" t="s">
        <v>7</v>
      </c>
      <c r="D215" t="s">
        <v>10</v>
      </c>
      <c r="E215" s="2">
        <v>43336.023831018516</v>
      </c>
      <c r="F215" t="s">
        <v>587</v>
      </c>
      <c r="G215" t="s">
        <v>385</v>
      </c>
      <c r="H215" t="s">
        <v>459</v>
      </c>
      <c r="I215" t="s">
        <v>490</v>
      </c>
      <c r="J215" t="s">
        <v>491</v>
      </c>
    </row>
    <row r="216" spans="1:10" hidden="1" x14ac:dyDescent="0.25">
      <c r="A216" t="s">
        <v>65</v>
      </c>
      <c r="B216" t="s">
        <v>6</v>
      </c>
      <c r="C216" t="s">
        <v>7</v>
      </c>
      <c r="D216" t="s">
        <v>27</v>
      </c>
      <c r="E216" s="2">
        <v>43336.023842592593</v>
      </c>
      <c r="F216" t="s">
        <v>299</v>
      </c>
      <c r="G216" t="s">
        <v>318</v>
      </c>
      <c r="H216" t="s">
        <v>442</v>
      </c>
      <c r="I216" t="s">
        <v>492</v>
      </c>
      <c r="J216" t="s">
        <v>546</v>
      </c>
    </row>
    <row r="217" spans="1:10" hidden="1" x14ac:dyDescent="0.25">
      <c r="A217" t="s">
        <v>19</v>
      </c>
      <c r="B217" t="s">
        <v>6</v>
      </c>
      <c r="C217" t="s">
        <v>7</v>
      </c>
      <c r="D217" t="s">
        <v>10</v>
      </c>
      <c r="E217" s="2">
        <v>43336.023854166669</v>
      </c>
      <c r="F217" t="s">
        <v>590</v>
      </c>
      <c r="G217" t="s">
        <v>427</v>
      </c>
      <c r="H217" t="s">
        <v>454</v>
      </c>
      <c r="I217" t="s">
        <v>494</v>
      </c>
      <c r="J217" t="s">
        <v>509</v>
      </c>
    </row>
    <row r="218" spans="1:10" hidden="1" x14ac:dyDescent="0.25">
      <c r="A218" t="s">
        <v>328</v>
      </c>
      <c r="B218" t="s">
        <v>6</v>
      </c>
      <c r="C218" t="s">
        <v>7</v>
      </c>
      <c r="D218" t="s">
        <v>13</v>
      </c>
      <c r="E218" s="2">
        <v>43336.023946759262</v>
      </c>
      <c r="F218" t="s">
        <v>591</v>
      </c>
      <c r="G218" t="s">
        <v>318</v>
      </c>
      <c r="H218" t="s">
        <v>436</v>
      </c>
      <c r="I218" t="s">
        <v>554</v>
      </c>
      <c r="J218" t="s">
        <v>497</v>
      </c>
    </row>
    <row r="219" spans="1:10" hidden="1" x14ac:dyDescent="0.25">
      <c r="A219" t="s">
        <v>413</v>
      </c>
      <c r="B219" t="s">
        <v>6</v>
      </c>
      <c r="C219" t="s">
        <v>7</v>
      </c>
      <c r="D219" t="s">
        <v>10</v>
      </c>
      <c r="E219" s="2">
        <v>43336.024050925924</v>
      </c>
      <c r="F219" t="s">
        <v>586</v>
      </c>
      <c r="G219" t="s">
        <v>318</v>
      </c>
      <c r="H219" t="s">
        <v>437</v>
      </c>
      <c r="I219" t="s">
        <v>490</v>
      </c>
      <c r="J219" t="s">
        <v>491</v>
      </c>
    </row>
    <row r="220" spans="1:10" hidden="1" x14ac:dyDescent="0.25">
      <c r="A220" t="s">
        <v>102</v>
      </c>
      <c r="B220" t="s">
        <v>6</v>
      </c>
      <c r="C220" t="s">
        <v>7</v>
      </c>
      <c r="D220" t="s">
        <v>10</v>
      </c>
      <c r="E220" s="2">
        <v>43336.024074074077</v>
      </c>
      <c r="F220" t="s">
        <v>300</v>
      </c>
      <c r="G220" t="s">
        <v>460</v>
      </c>
      <c r="H220" t="s">
        <v>461</v>
      </c>
      <c r="I220" t="s">
        <v>533</v>
      </c>
      <c r="J220" t="s">
        <v>543</v>
      </c>
    </row>
    <row r="221" spans="1:10" hidden="1" x14ac:dyDescent="0.25">
      <c r="A221" t="s">
        <v>235</v>
      </c>
      <c r="B221" t="s">
        <v>6</v>
      </c>
      <c r="C221" t="s">
        <v>7</v>
      </c>
      <c r="D221" t="s">
        <v>10</v>
      </c>
      <c r="E221" s="2">
        <v>43336.024085648147</v>
      </c>
      <c r="F221" t="s">
        <v>302</v>
      </c>
      <c r="G221" t="s">
        <v>462</v>
      </c>
      <c r="H221" t="s">
        <v>444</v>
      </c>
      <c r="I221" t="s">
        <v>508</v>
      </c>
      <c r="J221" t="s">
        <v>508</v>
      </c>
    </row>
    <row r="222" spans="1:10" hidden="1" x14ac:dyDescent="0.25">
      <c r="A222" t="s">
        <v>144</v>
      </c>
      <c r="B222" t="s">
        <v>6</v>
      </c>
      <c r="C222" t="s">
        <v>7</v>
      </c>
      <c r="D222" t="s">
        <v>10</v>
      </c>
      <c r="E222" s="2">
        <v>43336.024456018517</v>
      </c>
      <c r="F222" t="s">
        <v>585</v>
      </c>
      <c r="G222" t="s">
        <v>318</v>
      </c>
      <c r="H222" t="s">
        <v>441</v>
      </c>
      <c r="I222" t="s">
        <v>494</v>
      </c>
      <c r="J222" t="s">
        <v>495</v>
      </c>
    </row>
    <row r="223" spans="1:10" hidden="1" x14ac:dyDescent="0.25">
      <c r="A223" t="s">
        <v>361</v>
      </c>
      <c r="B223" t="s">
        <v>6</v>
      </c>
      <c r="C223" t="s">
        <v>7</v>
      </c>
      <c r="D223" t="s">
        <v>10</v>
      </c>
      <c r="E223" s="2">
        <v>43336.024467592593</v>
      </c>
      <c r="F223" t="s">
        <v>587</v>
      </c>
      <c r="G223" t="s">
        <v>385</v>
      </c>
      <c r="H223" t="s">
        <v>460</v>
      </c>
      <c r="I223" t="s">
        <v>490</v>
      </c>
      <c r="J223" t="s">
        <v>491</v>
      </c>
    </row>
    <row r="224" spans="1:10" hidden="1" x14ac:dyDescent="0.25">
      <c r="A224" t="s">
        <v>18</v>
      </c>
      <c r="B224" t="s">
        <v>6</v>
      </c>
      <c r="C224" t="s">
        <v>7</v>
      </c>
      <c r="D224" t="s">
        <v>10</v>
      </c>
      <c r="E224" s="2">
        <v>43336.024502314816</v>
      </c>
      <c r="F224" t="s">
        <v>590</v>
      </c>
      <c r="G224" t="s">
        <v>427</v>
      </c>
      <c r="H224" t="s">
        <v>455</v>
      </c>
      <c r="I224" t="s">
        <v>494</v>
      </c>
      <c r="J224" t="s">
        <v>492</v>
      </c>
    </row>
    <row r="225" spans="1:10" hidden="1" x14ac:dyDescent="0.25">
      <c r="A225" t="s">
        <v>64</v>
      </c>
      <c r="B225" t="s">
        <v>6</v>
      </c>
      <c r="C225" t="s">
        <v>7</v>
      </c>
      <c r="D225" t="s">
        <v>10</v>
      </c>
      <c r="E225" s="2">
        <v>43336.024513888886</v>
      </c>
      <c r="F225" t="s">
        <v>299</v>
      </c>
      <c r="G225" t="s">
        <v>318</v>
      </c>
      <c r="H225" t="s">
        <v>443</v>
      </c>
      <c r="I225" t="s">
        <v>492</v>
      </c>
      <c r="J225" t="s">
        <v>557</v>
      </c>
    </row>
    <row r="226" spans="1:10" hidden="1" x14ac:dyDescent="0.25">
      <c r="A226" t="s">
        <v>409</v>
      </c>
      <c r="B226" t="s">
        <v>6</v>
      </c>
      <c r="C226" t="s">
        <v>7</v>
      </c>
      <c r="D226" t="s">
        <v>10</v>
      </c>
      <c r="E226" s="2">
        <v>43336.024652777778</v>
      </c>
      <c r="F226" t="s">
        <v>586</v>
      </c>
      <c r="G226" t="s">
        <v>318</v>
      </c>
      <c r="H226" t="s">
        <v>438</v>
      </c>
      <c r="I226" t="s">
        <v>490</v>
      </c>
      <c r="J226" t="s">
        <v>491</v>
      </c>
    </row>
    <row r="227" spans="1:10" hidden="1" x14ac:dyDescent="0.25">
      <c r="A227" t="s">
        <v>275</v>
      </c>
      <c r="B227" t="s">
        <v>6</v>
      </c>
      <c r="C227" t="s">
        <v>7</v>
      </c>
      <c r="D227" t="s">
        <v>476</v>
      </c>
      <c r="E227" s="2">
        <v>43336.024664351855</v>
      </c>
      <c r="F227" t="s">
        <v>302</v>
      </c>
      <c r="G227" t="s">
        <v>462</v>
      </c>
      <c r="H227" t="s">
        <v>445</v>
      </c>
      <c r="I227" t="s">
        <v>505</v>
      </c>
      <c r="J227" t="s">
        <v>506</v>
      </c>
    </row>
    <row r="228" spans="1:10" hidden="1" x14ac:dyDescent="0.25">
      <c r="A228" t="s">
        <v>401</v>
      </c>
      <c r="B228" t="s">
        <v>6</v>
      </c>
      <c r="C228" t="s">
        <v>7</v>
      </c>
      <c r="D228" t="s">
        <v>13</v>
      </c>
      <c r="E228" s="2">
        <v>43336.024687500001</v>
      </c>
      <c r="F228" t="s">
        <v>591</v>
      </c>
      <c r="G228" t="s">
        <v>318</v>
      </c>
      <c r="H228" t="s">
        <v>437</v>
      </c>
      <c r="I228" t="s">
        <v>554</v>
      </c>
      <c r="J228" t="s">
        <v>497</v>
      </c>
    </row>
    <row r="229" spans="1:10" hidden="1" x14ac:dyDescent="0.25">
      <c r="A229" t="s">
        <v>61</v>
      </c>
      <c r="B229" t="s">
        <v>6</v>
      </c>
      <c r="C229" t="s">
        <v>7</v>
      </c>
      <c r="D229" t="s">
        <v>10</v>
      </c>
      <c r="E229" s="2">
        <v>43336.024699074071</v>
      </c>
      <c r="F229" t="s">
        <v>300</v>
      </c>
      <c r="G229" t="s">
        <v>460</v>
      </c>
      <c r="H229" t="s">
        <v>462</v>
      </c>
      <c r="I229" t="s">
        <v>533</v>
      </c>
      <c r="J229" t="s">
        <v>543</v>
      </c>
    </row>
    <row r="230" spans="1:10" hidden="1" x14ac:dyDescent="0.25">
      <c r="A230" t="s">
        <v>38</v>
      </c>
      <c r="B230" t="s">
        <v>6</v>
      </c>
      <c r="C230" t="s">
        <v>7</v>
      </c>
      <c r="D230" t="s">
        <v>10</v>
      </c>
      <c r="E230" s="2">
        <v>43336.025069444448</v>
      </c>
      <c r="F230" t="s">
        <v>585</v>
      </c>
      <c r="G230" t="s">
        <v>318</v>
      </c>
      <c r="H230" t="s">
        <v>442</v>
      </c>
      <c r="I230" t="s">
        <v>494</v>
      </c>
      <c r="J230" t="s">
        <v>495</v>
      </c>
    </row>
    <row r="231" spans="1:10" hidden="1" x14ac:dyDescent="0.25">
      <c r="A231" t="s">
        <v>362</v>
      </c>
      <c r="B231" t="s">
        <v>6</v>
      </c>
      <c r="C231" t="s">
        <v>7</v>
      </c>
      <c r="D231" t="s">
        <v>10</v>
      </c>
      <c r="E231" s="2">
        <v>43336.025069444448</v>
      </c>
      <c r="F231" t="s">
        <v>587</v>
      </c>
      <c r="G231" t="s">
        <v>385</v>
      </c>
      <c r="H231" t="s">
        <v>461</v>
      </c>
      <c r="I231" t="s">
        <v>490</v>
      </c>
      <c r="J231" t="s">
        <v>491</v>
      </c>
    </row>
    <row r="232" spans="1:10" hidden="1" x14ac:dyDescent="0.25">
      <c r="A232" t="s">
        <v>203</v>
      </c>
      <c r="B232" t="s">
        <v>6</v>
      </c>
      <c r="C232" t="s">
        <v>7</v>
      </c>
      <c r="D232" t="s">
        <v>10</v>
      </c>
      <c r="E232" s="2">
        <v>43336.025196759256</v>
      </c>
      <c r="F232" t="s">
        <v>299</v>
      </c>
      <c r="G232" t="s">
        <v>318</v>
      </c>
      <c r="H232" t="s">
        <v>444</v>
      </c>
      <c r="I232" t="s">
        <v>560</v>
      </c>
      <c r="J232" t="s">
        <v>561</v>
      </c>
    </row>
    <row r="233" spans="1:10" hidden="1" x14ac:dyDescent="0.25">
      <c r="A233" t="s">
        <v>135</v>
      </c>
      <c r="B233" t="s">
        <v>6</v>
      </c>
      <c r="C233" t="s">
        <v>7</v>
      </c>
      <c r="D233" t="s">
        <v>10</v>
      </c>
      <c r="E233" s="2">
        <v>43336.025254629632</v>
      </c>
      <c r="F233" t="s">
        <v>302</v>
      </c>
      <c r="G233" t="s">
        <v>462</v>
      </c>
      <c r="H233" t="s">
        <v>446</v>
      </c>
      <c r="I233" t="s">
        <v>502</v>
      </c>
      <c r="J233" t="s">
        <v>503</v>
      </c>
    </row>
    <row r="234" spans="1:10" hidden="1" x14ac:dyDescent="0.25">
      <c r="A234" t="s">
        <v>363</v>
      </c>
      <c r="B234" t="s">
        <v>6</v>
      </c>
      <c r="C234" t="s">
        <v>7</v>
      </c>
      <c r="D234" t="s">
        <v>10</v>
      </c>
      <c r="E234" s="2">
        <v>43336.025277777779</v>
      </c>
      <c r="F234" t="s">
        <v>586</v>
      </c>
      <c r="G234" t="s">
        <v>318</v>
      </c>
      <c r="H234" t="s">
        <v>439</v>
      </c>
      <c r="I234" t="s">
        <v>490</v>
      </c>
      <c r="J234" t="s">
        <v>491</v>
      </c>
    </row>
    <row r="235" spans="1:10" hidden="1" x14ac:dyDescent="0.25">
      <c r="A235" t="s">
        <v>182</v>
      </c>
      <c r="B235" t="s">
        <v>6</v>
      </c>
      <c r="C235" t="s">
        <v>7</v>
      </c>
      <c r="D235" t="s">
        <v>27</v>
      </c>
      <c r="E235" s="2">
        <v>43336.025289351855</v>
      </c>
      <c r="F235" t="s">
        <v>590</v>
      </c>
      <c r="G235" t="s">
        <v>427</v>
      </c>
      <c r="H235" t="s">
        <v>456</v>
      </c>
      <c r="I235" t="s">
        <v>494</v>
      </c>
      <c r="J235" t="s">
        <v>492</v>
      </c>
    </row>
    <row r="236" spans="1:10" hidden="1" x14ac:dyDescent="0.25">
      <c r="A236" t="s">
        <v>53</v>
      </c>
      <c r="B236" t="s">
        <v>6</v>
      </c>
      <c r="C236" t="s">
        <v>7</v>
      </c>
      <c r="D236" t="s">
        <v>10</v>
      </c>
      <c r="E236" s="2">
        <v>43336.025347222225</v>
      </c>
      <c r="F236" t="s">
        <v>300</v>
      </c>
      <c r="G236" t="s">
        <v>460</v>
      </c>
      <c r="H236" t="s">
        <v>453</v>
      </c>
      <c r="I236" t="s">
        <v>533</v>
      </c>
      <c r="J236" t="s">
        <v>543</v>
      </c>
    </row>
    <row r="237" spans="1:10" hidden="1" x14ac:dyDescent="0.25">
      <c r="A237" t="s">
        <v>380</v>
      </c>
      <c r="B237" t="s">
        <v>6</v>
      </c>
      <c r="C237" t="s">
        <v>7</v>
      </c>
      <c r="D237" t="s">
        <v>13</v>
      </c>
      <c r="E237" s="2">
        <v>43336.025451388887</v>
      </c>
      <c r="F237" t="s">
        <v>591</v>
      </c>
      <c r="G237" t="s">
        <v>318</v>
      </c>
      <c r="H237" t="s">
        <v>438</v>
      </c>
      <c r="I237" t="s">
        <v>554</v>
      </c>
      <c r="J237" t="s">
        <v>497</v>
      </c>
    </row>
    <row r="238" spans="1:10" hidden="1" x14ac:dyDescent="0.25">
      <c r="A238" t="s">
        <v>341</v>
      </c>
      <c r="B238" t="s">
        <v>6</v>
      </c>
      <c r="C238" t="s">
        <v>7</v>
      </c>
      <c r="D238" t="s">
        <v>10</v>
      </c>
      <c r="E238" s="2">
        <v>43336.025682870371</v>
      </c>
      <c r="F238" t="s">
        <v>587</v>
      </c>
      <c r="G238" t="s">
        <v>385</v>
      </c>
      <c r="H238" t="s">
        <v>462</v>
      </c>
      <c r="I238" t="s">
        <v>490</v>
      </c>
      <c r="J238" t="s">
        <v>491</v>
      </c>
    </row>
    <row r="239" spans="1:10" hidden="1" x14ac:dyDescent="0.25">
      <c r="A239" t="s">
        <v>37</v>
      </c>
      <c r="B239" t="s">
        <v>6</v>
      </c>
      <c r="C239" t="s">
        <v>7</v>
      </c>
      <c r="D239" t="s">
        <v>10</v>
      </c>
      <c r="E239" s="2">
        <v>43336.025694444441</v>
      </c>
      <c r="F239" t="s">
        <v>585</v>
      </c>
      <c r="G239" t="s">
        <v>318</v>
      </c>
      <c r="H239" t="s">
        <v>443</v>
      </c>
      <c r="I239" t="s">
        <v>494</v>
      </c>
      <c r="J239" t="s">
        <v>495</v>
      </c>
    </row>
    <row r="240" spans="1:10" hidden="1" x14ac:dyDescent="0.25">
      <c r="A240" t="s">
        <v>121</v>
      </c>
      <c r="B240" t="s">
        <v>6</v>
      </c>
      <c r="C240" t="s">
        <v>7</v>
      </c>
      <c r="D240" t="s">
        <v>10</v>
      </c>
      <c r="E240" s="2">
        <v>43336.025868055556</v>
      </c>
      <c r="F240" t="s">
        <v>299</v>
      </c>
      <c r="G240" t="s">
        <v>318</v>
      </c>
      <c r="H240" t="s">
        <v>445</v>
      </c>
      <c r="I240" t="s">
        <v>558</v>
      </c>
      <c r="J240" t="s">
        <v>559</v>
      </c>
    </row>
    <row r="241" spans="1:10" hidden="1" x14ac:dyDescent="0.25">
      <c r="A241" t="s">
        <v>276</v>
      </c>
      <c r="B241" t="s">
        <v>6</v>
      </c>
      <c r="C241" t="s">
        <v>7</v>
      </c>
      <c r="D241" t="s">
        <v>10</v>
      </c>
      <c r="E241" s="2">
        <v>43336.025868055556</v>
      </c>
      <c r="F241" t="s">
        <v>302</v>
      </c>
      <c r="G241" t="s">
        <v>462</v>
      </c>
      <c r="H241" t="s">
        <v>447</v>
      </c>
      <c r="I241" t="s">
        <v>502</v>
      </c>
      <c r="J241" t="s">
        <v>503</v>
      </c>
    </row>
    <row r="242" spans="1:10" hidden="1" x14ac:dyDescent="0.25">
      <c r="A242" t="s">
        <v>400</v>
      </c>
      <c r="B242" t="s">
        <v>6</v>
      </c>
      <c r="C242" t="s">
        <v>7</v>
      </c>
      <c r="D242" t="s">
        <v>10</v>
      </c>
      <c r="E242" s="2">
        <v>43336.025902777779</v>
      </c>
      <c r="F242" t="s">
        <v>586</v>
      </c>
      <c r="G242" t="s">
        <v>318</v>
      </c>
      <c r="H242" t="s">
        <v>440</v>
      </c>
      <c r="I242" t="s">
        <v>490</v>
      </c>
      <c r="J242" t="s">
        <v>491</v>
      </c>
    </row>
    <row r="243" spans="1:10" hidden="1" x14ac:dyDescent="0.25">
      <c r="A243" t="s">
        <v>17</v>
      </c>
      <c r="B243" t="s">
        <v>6</v>
      </c>
      <c r="C243" t="s">
        <v>7</v>
      </c>
      <c r="D243" t="s">
        <v>10</v>
      </c>
      <c r="E243" s="2">
        <v>43336.025949074072</v>
      </c>
      <c r="F243" t="s">
        <v>590</v>
      </c>
      <c r="G243" t="s">
        <v>427</v>
      </c>
      <c r="H243" t="s">
        <v>426</v>
      </c>
      <c r="I243" t="s">
        <v>494</v>
      </c>
      <c r="J243" t="s">
        <v>492</v>
      </c>
    </row>
    <row r="244" spans="1:10" hidden="1" x14ac:dyDescent="0.25">
      <c r="A244" t="s">
        <v>156</v>
      </c>
      <c r="B244" t="s">
        <v>6</v>
      </c>
      <c r="C244" t="s">
        <v>7</v>
      </c>
      <c r="D244" t="s">
        <v>10</v>
      </c>
      <c r="E244" s="2">
        <v>43336.025995370372</v>
      </c>
      <c r="F244" t="s">
        <v>300</v>
      </c>
      <c r="G244" t="s">
        <v>460</v>
      </c>
      <c r="H244" t="s">
        <v>454</v>
      </c>
      <c r="I244" t="s">
        <v>533</v>
      </c>
      <c r="J244" t="s">
        <v>543</v>
      </c>
    </row>
    <row r="245" spans="1:10" hidden="1" x14ac:dyDescent="0.25">
      <c r="A245" t="s">
        <v>329</v>
      </c>
      <c r="B245" t="s">
        <v>6</v>
      </c>
      <c r="C245" t="s">
        <v>7</v>
      </c>
      <c r="D245" t="s">
        <v>13</v>
      </c>
      <c r="E245" s="2">
        <v>43336.026203703703</v>
      </c>
      <c r="F245" t="s">
        <v>591</v>
      </c>
      <c r="G245" t="s">
        <v>318</v>
      </c>
      <c r="H245" t="s">
        <v>439</v>
      </c>
      <c r="I245" t="s">
        <v>554</v>
      </c>
      <c r="J245" t="s">
        <v>497</v>
      </c>
    </row>
    <row r="246" spans="1:10" hidden="1" x14ac:dyDescent="0.25">
      <c r="A246" t="s">
        <v>216</v>
      </c>
      <c r="B246" t="s">
        <v>6</v>
      </c>
      <c r="C246" t="s">
        <v>7</v>
      </c>
      <c r="D246" t="s">
        <v>10</v>
      </c>
      <c r="E246" s="2">
        <v>43336.026319444441</v>
      </c>
      <c r="F246" t="s">
        <v>585</v>
      </c>
      <c r="G246" t="s">
        <v>318</v>
      </c>
      <c r="H246" t="s">
        <v>444</v>
      </c>
      <c r="I246" t="s">
        <v>494</v>
      </c>
      <c r="J246" t="s">
        <v>495</v>
      </c>
    </row>
    <row r="247" spans="1:10" hidden="1" x14ac:dyDescent="0.25">
      <c r="A247" t="s">
        <v>342</v>
      </c>
      <c r="B247" t="s">
        <v>6</v>
      </c>
      <c r="C247" t="s">
        <v>7</v>
      </c>
      <c r="D247" t="s">
        <v>10</v>
      </c>
      <c r="E247" s="2">
        <v>43336.026342592595</v>
      </c>
      <c r="F247" t="s">
        <v>587</v>
      </c>
      <c r="G247" t="s">
        <v>385</v>
      </c>
      <c r="H247" t="s">
        <v>453</v>
      </c>
      <c r="I247" t="s">
        <v>490</v>
      </c>
      <c r="J247" t="s">
        <v>491</v>
      </c>
    </row>
    <row r="248" spans="1:10" hidden="1" x14ac:dyDescent="0.25">
      <c r="A248" t="s">
        <v>277</v>
      </c>
      <c r="B248" t="s">
        <v>6</v>
      </c>
      <c r="C248" t="s">
        <v>7</v>
      </c>
      <c r="D248" t="s">
        <v>10</v>
      </c>
      <c r="E248" s="2">
        <v>43336.02648148148</v>
      </c>
      <c r="F248" t="s">
        <v>302</v>
      </c>
      <c r="G248" t="s">
        <v>462</v>
      </c>
      <c r="H248" t="s">
        <v>448</v>
      </c>
      <c r="I248" t="s">
        <v>498</v>
      </c>
      <c r="J248" t="s">
        <v>498</v>
      </c>
    </row>
    <row r="249" spans="1:10" hidden="1" x14ac:dyDescent="0.25">
      <c r="A249" t="s">
        <v>376</v>
      </c>
      <c r="B249" t="s">
        <v>6</v>
      </c>
      <c r="C249" t="s">
        <v>7</v>
      </c>
      <c r="D249" t="s">
        <v>10</v>
      </c>
      <c r="E249" s="2">
        <v>43336.026539351849</v>
      </c>
      <c r="F249" t="s">
        <v>586</v>
      </c>
      <c r="G249" t="s">
        <v>318</v>
      </c>
      <c r="H249" t="s">
        <v>441</v>
      </c>
      <c r="I249" t="s">
        <v>490</v>
      </c>
      <c r="J249" t="s">
        <v>491</v>
      </c>
    </row>
    <row r="250" spans="1:10" hidden="1" x14ac:dyDescent="0.25">
      <c r="A250" t="s">
        <v>66</v>
      </c>
      <c r="B250" t="s">
        <v>6</v>
      </c>
      <c r="C250" t="s">
        <v>7</v>
      </c>
      <c r="D250" t="s">
        <v>10</v>
      </c>
      <c r="E250" s="2">
        <v>43336.026585648149</v>
      </c>
      <c r="F250" t="s">
        <v>299</v>
      </c>
      <c r="G250" t="s">
        <v>318</v>
      </c>
      <c r="H250" t="s">
        <v>446</v>
      </c>
      <c r="I250" t="s">
        <v>558</v>
      </c>
      <c r="J250" t="s">
        <v>559</v>
      </c>
    </row>
    <row r="251" spans="1:10" hidden="1" x14ac:dyDescent="0.25">
      <c r="A251" t="s">
        <v>14</v>
      </c>
      <c r="B251" t="s">
        <v>6</v>
      </c>
      <c r="C251" t="s">
        <v>7</v>
      </c>
      <c r="D251" t="s">
        <v>476</v>
      </c>
      <c r="E251" s="2">
        <v>43336.026585648149</v>
      </c>
      <c r="F251" t="s">
        <v>590</v>
      </c>
      <c r="G251" t="s">
        <v>427</v>
      </c>
      <c r="H251" t="s">
        <v>427</v>
      </c>
      <c r="I251" t="s">
        <v>511</v>
      </c>
      <c r="J251" t="s">
        <v>540</v>
      </c>
    </row>
    <row r="252" spans="1:10" hidden="1" x14ac:dyDescent="0.25">
      <c r="A252" t="s">
        <v>70</v>
      </c>
      <c r="B252" t="s">
        <v>6</v>
      </c>
      <c r="C252" t="s">
        <v>7</v>
      </c>
      <c r="D252" t="s">
        <v>27</v>
      </c>
      <c r="E252" s="2">
        <v>43336.02679398148</v>
      </c>
      <c r="F252" t="s">
        <v>300</v>
      </c>
      <c r="G252" t="s">
        <v>460</v>
      </c>
      <c r="H252" t="s">
        <v>455</v>
      </c>
      <c r="I252" t="s">
        <v>533</v>
      </c>
      <c r="J252" t="s">
        <v>543</v>
      </c>
    </row>
    <row r="253" spans="1:10" hidden="1" x14ac:dyDescent="0.25">
      <c r="A253" t="s">
        <v>36</v>
      </c>
      <c r="B253" t="s">
        <v>6</v>
      </c>
      <c r="C253" t="s">
        <v>7</v>
      </c>
      <c r="D253" t="s">
        <v>10</v>
      </c>
      <c r="E253" s="2">
        <v>43336.026932870373</v>
      </c>
      <c r="F253" t="s">
        <v>585</v>
      </c>
      <c r="G253" t="s">
        <v>318</v>
      </c>
      <c r="H253" t="s">
        <v>445</v>
      </c>
      <c r="I253" t="s">
        <v>494</v>
      </c>
      <c r="J253" t="s">
        <v>495</v>
      </c>
    </row>
    <row r="254" spans="1:10" hidden="1" x14ac:dyDescent="0.25">
      <c r="A254" t="s">
        <v>383</v>
      </c>
      <c r="B254" t="s">
        <v>6</v>
      </c>
      <c r="C254" t="s">
        <v>7</v>
      </c>
      <c r="D254" t="s">
        <v>13</v>
      </c>
      <c r="E254" s="2">
        <v>43336.026956018519</v>
      </c>
      <c r="F254" t="s">
        <v>591</v>
      </c>
      <c r="G254" t="s">
        <v>318</v>
      </c>
      <c r="H254" t="s">
        <v>440</v>
      </c>
      <c r="I254" t="s">
        <v>554</v>
      </c>
      <c r="J254" t="s">
        <v>497</v>
      </c>
    </row>
    <row r="255" spans="1:10" hidden="1" x14ac:dyDescent="0.25">
      <c r="A255" t="s">
        <v>317</v>
      </c>
      <c r="B255" t="s">
        <v>6</v>
      </c>
      <c r="C255" t="s">
        <v>7</v>
      </c>
      <c r="D255" t="s">
        <v>27</v>
      </c>
      <c r="E255" s="2">
        <v>43336.027083333334</v>
      </c>
      <c r="F255" t="s">
        <v>587</v>
      </c>
      <c r="G255" t="s">
        <v>385</v>
      </c>
      <c r="H255" t="s">
        <v>454</v>
      </c>
      <c r="I255" t="s">
        <v>490</v>
      </c>
      <c r="J255" t="s">
        <v>491</v>
      </c>
    </row>
    <row r="256" spans="1:10" hidden="1" x14ac:dyDescent="0.25">
      <c r="A256" t="s">
        <v>200</v>
      </c>
      <c r="B256" t="s">
        <v>6</v>
      </c>
      <c r="C256" t="s">
        <v>7</v>
      </c>
      <c r="D256" t="s">
        <v>10</v>
      </c>
      <c r="E256" s="2">
        <v>43336.027083333334</v>
      </c>
      <c r="F256" t="s">
        <v>302</v>
      </c>
      <c r="G256" t="s">
        <v>462</v>
      </c>
      <c r="H256" t="s">
        <v>449</v>
      </c>
      <c r="I256" t="s">
        <v>498</v>
      </c>
      <c r="J256" t="s">
        <v>498</v>
      </c>
    </row>
    <row r="257" spans="1:10" hidden="1" x14ac:dyDescent="0.25">
      <c r="A257" t="s">
        <v>327</v>
      </c>
      <c r="B257" t="s">
        <v>6</v>
      </c>
      <c r="C257" t="s">
        <v>7</v>
      </c>
      <c r="D257" t="s">
        <v>10</v>
      </c>
      <c r="E257" s="2">
        <v>43336.027175925927</v>
      </c>
      <c r="F257" t="s">
        <v>586</v>
      </c>
      <c r="G257" t="s">
        <v>318</v>
      </c>
      <c r="H257" t="s">
        <v>442</v>
      </c>
      <c r="I257" t="s">
        <v>490</v>
      </c>
      <c r="J257" t="s">
        <v>491</v>
      </c>
    </row>
    <row r="258" spans="1:10" hidden="1" x14ac:dyDescent="0.25">
      <c r="A258" t="s">
        <v>233</v>
      </c>
      <c r="B258" t="s">
        <v>6</v>
      </c>
      <c r="C258" t="s">
        <v>7</v>
      </c>
      <c r="D258" t="s">
        <v>476</v>
      </c>
      <c r="E258" s="2">
        <v>43336.027199074073</v>
      </c>
      <c r="F258" t="s">
        <v>590</v>
      </c>
      <c r="G258" t="s">
        <v>427</v>
      </c>
      <c r="H258" t="s">
        <v>428</v>
      </c>
      <c r="I258" t="s">
        <v>511</v>
      </c>
      <c r="J258" t="s">
        <v>537</v>
      </c>
    </row>
    <row r="259" spans="1:10" hidden="1" x14ac:dyDescent="0.25">
      <c r="A259" t="s">
        <v>60</v>
      </c>
      <c r="B259" t="s">
        <v>6</v>
      </c>
      <c r="C259" t="s">
        <v>7</v>
      </c>
      <c r="D259" t="s">
        <v>10</v>
      </c>
      <c r="E259" s="2">
        <v>43336.027256944442</v>
      </c>
      <c r="F259" t="s">
        <v>299</v>
      </c>
      <c r="G259" t="s">
        <v>318</v>
      </c>
      <c r="H259" t="s">
        <v>447</v>
      </c>
      <c r="I259" t="s">
        <v>558</v>
      </c>
      <c r="J259" t="s">
        <v>559</v>
      </c>
    </row>
    <row r="260" spans="1:10" hidden="1" x14ac:dyDescent="0.25">
      <c r="A260" t="s">
        <v>52</v>
      </c>
      <c r="B260" t="s">
        <v>6</v>
      </c>
      <c r="C260" t="s">
        <v>7</v>
      </c>
      <c r="D260" t="s">
        <v>10</v>
      </c>
      <c r="E260" s="2">
        <v>43336.027465277781</v>
      </c>
      <c r="F260" t="s">
        <v>300</v>
      </c>
      <c r="G260" t="s">
        <v>460</v>
      </c>
      <c r="H260" t="s">
        <v>456</v>
      </c>
      <c r="I260" t="s">
        <v>533</v>
      </c>
      <c r="J260" t="s">
        <v>543</v>
      </c>
    </row>
    <row r="261" spans="1:10" hidden="1" x14ac:dyDescent="0.25">
      <c r="A261" t="s">
        <v>195</v>
      </c>
      <c r="B261" t="s">
        <v>6</v>
      </c>
      <c r="C261" t="s">
        <v>7</v>
      </c>
      <c r="D261" t="s">
        <v>10</v>
      </c>
      <c r="E261" s="2">
        <v>43336.027546296296</v>
      </c>
      <c r="F261" t="s">
        <v>585</v>
      </c>
      <c r="G261" t="s">
        <v>318</v>
      </c>
      <c r="H261" t="s">
        <v>446</v>
      </c>
      <c r="I261" t="s">
        <v>494</v>
      </c>
      <c r="J261" t="s">
        <v>495</v>
      </c>
    </row>
    <row r="262" spans="1:10" hidden="1" x14ac:dyDescent="0.25">
      <c r="A262" t="s">
        <v>321</v>
      </c>
      <c r="B262" t="s">
        <v>6</v>
      </c>
      <c r="C262" t="s">
        <v>7</v>
      </c>
      <c r="D262" t="s">
        <v>476</v>
      </c>
      <c r="E262" s="2">
        <v>43336.027557870373</v>
      </c>
      <c r="F262" t="s">
        <v>591</v>
      </c>
      <c r="G262" t="s">
        <v>318</v>
      </c>
      <c r="H262" t="s">
        <v>441</v>
      </c>
      <c r="I262" t="s">
        <v>554</v>
      </c>
      <c r="J262" t="s">
        <v>497</v>
      </c>
    </row>
    <row r="263" spans="1:10" hidden="1" x14ac:dyDescent="0.25">
      <c r="A263" t="s">
        <v>370</v>
      </c>
      <c r="B263" t="s">
        <v>6</v>
      </c>
      <c r="C263" t="s">
        <v>7</v>
      </c>
      <c r="D263" t="s">
        <v>10</v>
      </c>
      <c r="E263" s="2">
        <v>43336.027673611112</v>
      </c>
      <c r="F263" t="s">
        <v>587</v>
      </c>
      <c r="G263" t="s">
        <v>385</v>
      </c>
      <c r="H263" t="s">
        <v>455</v>
      </c>
      <c r="I263" t="s">
        <v>490</v>
      </c>
      <c r="J263" t="s">
        <v>491</v>
      </c>
    </row>
    <row r="264" spans="1:10" hidden="1" x14ac:dyDescent="0.25">
      <c r="A264" t="s">
        <v>414</v>
      </c>
      <c r="B264" t="s">
        <v>6</v>
      </c>
      <c r="C264" t="s">
        <v>7</v>
      </c>
      <c r="D264" t="s">
        <v>10</v>
      </c>
      <c r="E264" s="2">
        <v>43336.027800925927</v>
      </c>
      <c r="F264" t="s">
        <v>586</v>
      </c>
      <c r="G264" t="s">
        <v>318</v>
      </c>
      <c r="H264" t="s">
        <v>443</v>
      </c>
      <c r="I264" t="s">
        <v>490</v>
      </c>
      <c r="J264" t="s">
        <v>491</v>
      </c>
    </row>
    <row r="265" spans="1:10" hidden="1" x14ac:dyDescent="0.25">
      <c r="A265" t="s">
        <v>12</v>
      </c>
      <c r="B265" t="s">
        <v>6</v>
      </c>
      <c r="C265" t="s">
        <v>7</v>
      </c>
      <c r="D265" t="s">
        <v>10</v>
      </c>
      <c r="E265" s="2">
        <v>43336.027824074074</v>
      </c>
      <c r="F265" t="s">
        <v>590</v>
      </c>
      <c r="G265" t="s">
        <v>427</v>
      </c>
      <c r="H265" t="s">
        <v>429</v>
      </c>
      <c r="I265" t="s">
        <v>494</v>
      </c>
      <c r="J265" t="s">
        <v>492</v>
      </c>
    </row>
    <row r="266" spans="1:10" hidden="1" x14ac:dyDescent="0.25">
      <c r="A266" t="s">
        <v>59</v>
      </c>
      <c r="B266" t="s">
        <v>6</v>
      </c>
      <c r="C266" t="s">
        <v>7</v>
      </c>
      <c r="D266" t="s">
        <v>10</v>
      </c>
      <c r="E266" s="2">
        <v>43336.027951388889</v>
      </c>
      <c r="F266" t="s">
        <v>299</v>
      </c>
      <c r="G266" t="s">
        <v>318</v>
      </c>
      <c r="H266" t="s">
        <v>448</v>
      </c>
      <c r="I266" t="s">
        <v>558</v>
      </c>
      <c r="J266" t="s">
        <v>559</v>
      </c>
    </row>
    <row r="267" spans="1:10" hidden="1" x14ac:dyDescent="0.25">
      <c r="A267" t="s">
        <v>51</v>
      </c>
      <c r="B267" t="s">
        <v>6</v>
      </c>
      <c r="C267" t="s">
        <v>7</v>
      </c>
      <c r="D267" t="s">
        <v>10</v>
      </c>
      <c r="E267" s="2">
        <v>43336.028101851851</v>
      </c>
      <c r="F267" t="s">
        <v>300</v>
      </c>
      <c r="G267" t="s">
        <v>460</v>
      </c>
      <c r="H267" t="s">
        <v>426</v>
      </c>
      <c r="I267" t="s">
        <v>533</v>
      </c>
      <c r="J267" t="s">
        <v>543</v>
      </c>
    </row>
    <row r="268" spans="1:10" hidden="1" x14ac:dyDescent="0.25">
      <c r="A268" t="s">
        <v>35</v>
      </c>
      <c r="B268" t="s">
        <v>6</v>
      </c>
      <c r="C268" t="s">
        <v>7</v>
      </c>
      <c r="D268" t="s">
        <v>10</v>
      </c>
      <c r="E268" s="2">
        <v>43336.028171296297</v>
      </c>
      <c r="F268" t="s">
        <v>585</v>
      </c>
      <c r="G268" t="s">
        <v>318</v>
      </c>
      <c r="H268" t="s">
        <v>447</v>
      </c>
      <c r="I268" t="s">
        <v>494</v>
      </c>
      <c r="J268" t="s">
        <v>495</v>
      </c>
    </row>
    <row r="269" spans="1:10" hidden="1" x14ac:dyDescent="0.25">
      <c r="A269" t="s">
        <v>367</v>
      </c>
      <c r="B269" t="s">
        <v>6</v>
      </c>
      <c r="C269" t="s">
        <v>7</v>
      </c>
      <c r="D269" t="s">
        <v>10</v>
      </c>
      <c r="E269" s="2">
        <v>43336.028275462966</v>
      </c>
      <c r="F269" t="s">
        <v>587</v>
      </c>
      <c r="G269" t="s">
        <v>385</v>
      </c>
      <c r="H269" t="s">
        <v>456</v>
      </c>
      <c r="I269" t="s">
        <v>490</v>
      </c>
      <c r="J269" t="s">
        <v>491</v>
      </c>
    </row>
    <row r="270" spans="1:10" hidden="1" x14ac:dyDescent="0.25">
      <c r="A270" t="s">
        <v>356</v>
      </c>
      <c r="B270" t="s">
        <v>6</v>
      </c>
      <c r="C270" t="s">
        <v>7</v>
      </c>
      <c r="D270" t="s">
        <v>13</v>
      </c>
      <c r="E270" s="2">
        <v>43336.028310185182</v>
      </c>
      <c r="F270" t="s">
        <v>591</v>
      </c>
      <c r="G270" t="s">
        <v>318</v>
      </c>
      <c r="H270" t="s">
        <v>442</v>
      </c>
      <c r="I270" t="s">
        <v>554</v>
      </c>
      <c r="J270" t="s">
        <v>497</v>
      </c>
    </row>
    <row r="271" spans="1:10" hidden="1" x14ac:dyDescent="0.25">
      <c r="A271" t="s">
        <v>420</v>
      </c>
      <c r="B271" t="s">
        <v>6</v>
      </c>
      <c r="C271" t="s">
        <v>7</v>
      </c>
      <c r="D271" t="s">
        <v>10</v>
      </c>
      <c r="E271" s="2">
        <v>43336.028414351851</v>
      </c>
      <c r="F271" t="s">
        <v>586</v>
      </c>
      <c r="G271" t="s">
        <v>318</v>
      </c>
      <c r="H271" t="s">
        <v>444</v>
      </c>
      <c r="I271" t="s">
        <v>490</v>
      </c>
      <c r="J271" t="s">
        <v>491</v>
      </c>
    </row>
    <row r="272" spans="1:10" hidden="1" x14ac:dyDescent="0.25">
      <c r="A272" t="s">
        <v>11</v>
      </c>
      <c r="B272" t="s">
        <v>6</v>
      </c>
      <c r="C272" t="s">
        <v>7</v>
      </c>
      <c r="D272" t="s">
        <v>10</v>
      </c>
      <c r="E272" s="2">
        <v>43336.028460648151</v>
      </c>
      <c r="F272" t="s">
        <v>590</v>
      </c>
      <c r="G272" t="s">
        <v>427</v>
      </c>
      <c r="H272" t="s">
        <v>430</v>
      </c>
      <c r="I272" t="s">
        <v>494</v>
      </c>
      <c r="J272" t="s">
        <v>533</v>
      </c>
    </row>
    <row r="273" spans="1:10" hidden="1" x14ac:dyDescent="0.25">
      <c r="A273" t="s">
        <v>57</v>
      </c>
      <c r="B273" t="s">
        <v>6</v>
      </c>
      <c r="C273" t="s">
        <v>7</v>
      </c>
      <c r="D273" t="s">
        <v>10</v>
      </c>
      <c r="E273" s="2">
        <v>43336.028645833336</v>
      </c>
      <c r="F273" t="s">
        <v>299</v>
      </c>
      <c r="G273" t="s">
        <v>318</v>
      </c>
      <c r="H273" t="s">
        <v>449</v>
      </c>
      <c r="I273" t="s">
        <v>558</v>
      </c>
      <c r="J273" t="s">
        <v>559</v>
      </c>
    </row>
    <row r="274" spans="1:10" hidden="1" x14ac:dyDescent="0.25">
      <c r="A274" t="s">
        <v>90</v>
      </c>
      <c r="B274" t="s">
        <v>6</v>
      </c>
      <c r="C274" t="s">
        <v>7</v>
      </c>
      <c r="D274" t="s">
        <v>10</v>
      </c>
      <c r="E274" s="2">
        <v>43336.028715277775</v>
      </c>
      <c r="F274" t="s">
        <v>300</v>
      </c>
      <c r="G274" t="s">
        <v>460</v>
      </c>
      <c r="H274" t="s">
        <v>427</v>
      </c>
      <c r="I274" t="s">
        <v>533</v>
      </c>
      <c r="J274" t="s">
        <v>543</v>
      </c>
    </row>
    <row r="275" spans="1:10" hidden="1" x14ac:dyDescent="0.25">
      <c r="A275" t="s">
        <v>34</v>
      </c>
      <c r="B275" t="s">
        <v>6</v>
      </c>
      <c r="C275" t="s">
        <v>7</v>
      </c>
      <c r="D275" t="s">
        <v>10</v>
      </c>
      <c r="E275" s="2">
        <v>43336.028796296298</v>
      </c>
      <c r="F275" t="s">
        <v>585</v>
      </c>
      <c r="G275" t="s">
        <v>318</v>
      </c>
      <c r="H275" t="s">
        <v>448</v>
      </c>
      <c r="I275" t="s">
        <v>494</v>
      </c>
      <c r="J275" t="s">
        <v>495</v>
      </c>
    </row>
    <row r="276" spans="1:10" hidden="1" x14ac:dyDescent="0.25">
      <c r="A276" t="s">
        <v>368</v>
      </c>
      <c r="B276" t="s">
        <v>6</v>
      </c>
      <c r="C276" t="s">
        <v>7</v>
      </c>
      <c r="D276" t="s">
        <v>10</v>
      </c>
      <c r="E276" s="2">
        <v>43336.02888888889</v>
      </c>
      <c r="F276" t="s">
        <v>587</v>
      </c>
      <c r="G276" t="s">
        <v>385</v>
      </c>
      <c r="H276" t="s">
        <v>426</v>
      </c>
      <c r="I276" t="s">
        <v>490</v>
      </c>
      <c r="J276" t="s">
        <v>491</v>
      </c>
    </row>
    <row r="277" spans="1:10" hidden="1" x14ac:dyDescent="0.25">
      <c r="A277" t="s">
        <v>421</v>
      </c>
      <c r="B277" t="s">
        <v>6</v>
      </c>
      <c r="C277" t="s">
        <v>7</v>
      </c>
      <c r="D277" t="s">
        <v>10</v>
      </c>
      <c r="E277" s="2">
        <v>43336.029050925928</v>
      </c>
      <c r="F277" t="s">
        <v>586</v>
      </c>
      <c r="G277" t="s">
        <v>318</v>
      </c>
      <c r="H277" t="s">
        <v>445</v>
      </c>
      <c r="I277" t="s">
        <v>490</v>
      </c>
      <c r="J277" t="s">
        <v>491</v>
      </c>
    </row>
    <row r="278" spans="1:10" hidden="1" x14ac:dyDescent="0.25">
      <c r="A278" t="s">
        <v>425</v>
      </c>
      <c r="B278" t="s">
        <v>6</v>
      </c>
      <c r="C278" t="s">
        <v>7</v>
      </c>
      <c r="D278" t="s">
        <v>13</v>
      </c>
      <c r="E278" s="2">
        <v>43336.029050925928</v>
      </c>
      <c r="F278" t="s">
        <v>591</v>
      </c>
      <c r="G278" t="s">
        <v>318</v>
      </c>
      <c r="H278" t="s">
        <v>443</v>
      </c>
      <c r="I278" t="s">
        <v>554</v>
      </c>
      <c r="J278" t="s">
        <v>497</v>
      </c>
    </row>
    <row r="279" spans="1:10" hidden="1" x14ac:dyDescent="0.25">
      <c r="A279" t="s">
        <v>9</v>
      </c>
      <c r="B279" t="s">
        <v>6</v>
      </c>
      <c r="C279" t="s">
        <v>7</v>
      </c>
      <c r="D279" t="s">
        <v>476</v>
      </c>
      <c r="E279" s="2">
        <v>43336.029097222221</v>
      </c>
      <c r="F279" t="s">
        <v>590</v>
      </c>
      <c r="G279" t="s">
        <v>427</v>
      </c>
      <c r="H279" t="s">
        <v>431</v>
      </c>
      <c r="I279" t="s">
        <v>494</v>
      </c>
      <c r="J279" t="s">
        <v>533</v>
      </c>
    </row>
    <row r="280" spans="1:10" hidden="1" x14ac:dyDescent="0.25">
      <c r="A280" t="s">
        <v>106</v>
      </c>
      <c r="B280" t="s">
        <v>6</v>
      </c>
      <c r="C280" t="s">
        <v>7</v>
      </c>
      <c r="D280" t="s">
        <v>10</v>
      </c>
      <c r="E280" s="2">
        <v>43336.029374999998</v>
      </c>
      <c r="F280" t="s">
        <v>300</v>
      </c>
      <c r="G280" t="s">
        <v>460</v>
      </c>
      <c r="H280" t="s">
        <v>428</v>
      </c>
      <c r="I280" t="s">
        <v>533</v>
      </c>
      <c r="J280" t="s">
        <v>543</v>
      </c>
    </row>
    <row r="281" spans="1:10" hidden="1" x14ac:dyDescent="0.25">
      <c r="A281" t="s">
        <v>33</v>
      </c>
      <c r="B281" t="s">
        <v>6</v>
      </c>
      <c r="C281" t="s">
        <v>7</v>
      </c>
      <c r="D281" t="s">
        <v>10</v>
      </c>
      <c r="E281" s="2">
        <v>43336.029432870368</v>
      </c>
      <c r="F281" t="s">
        <v>585</v>
      </c>
      <c r="G281" t="s">
        <v>318</v>
      </c>
      <c r="H281" t="s">
        <v>449</v>
      </c>
      <c r="I281" t="s">
        <v>494</v>
      </c>
      <c r="J281" t="s">
        <v>495</v>
      </c>
    </row>
    <row r="282" spans="1:10" hidden="1" x14ac:dyDescent="0.25">
      <c r="A282" t="s">
        <v>154</v>
      </c>
      <c r="B282" t="s">
        <v>6</v>
      </c>
      <c r="C282" t="s">
        <v>7</v>
      </c>
      <c r="D282" t="s">
        <v>10</v>
      </c>
      <c r="E282" s="2">
        <v>43336.029432870368</v>
      </c>
      <c r="F282" t="s">
        <v>299</v>
      </c>
      <c r="G282" t="s">
        <v>318</v>
      </c>
      <c r="H282" t="s">
        <v>450</v>
      </c>
      <c r="I282" t="s">
        <v>558</v>
      </c>
      <c r="J282" t="s">
        <v>559</v>
      </c>
    </row>
    <row r="283" spans="1:10" hidden="1" x14ac:dyDescent="0.25">
      <c r="A283" t="s">
        <v>371</v>
      </c>
      <c r="B283" t="s">
        <v>6</v>
      </c>
      <c r="C283" t="s">
        <v>7</v>
      </c>
      <c r="D283" t="s">
        <v>10</v>
      </c>
      <c r="E283" s="2">
        <v>43336.029502314814</v>
      </c>
      <c r="F283" t="s">
        <v>587</v>
      </c>
      <c r="G283" t="s">
        <v>385</v>
      </c>
      <c r="H283" t="s">
        <v>427</v>
      </c>
      <c r="I283" t="s">
        <v>490</v>
      </c>
      <c r="J283" t="s">
        <v>491</v>
      </c>
    </row>
    <row r="284" spans="1:10" hidden="1" x14ac:dyDescent="0.25">
      <c r="A284" t="s">
        <v>390</v>
      </c>
      <c r="B284" t="s">
        <v>6</v>
      </c>
      <c r="C284" t="s">
        <v>7</v>
      </c>
      <c r="D284" t="s">
        <v>10</v>
      </c>
      <c r="E284" s="2">
        <v>43336.029652777775</v>
      </c>
      <c r="F284" t="s">
        <v>586</v>
      </c>
      <c r="G284" t="s">
        <v>318</v>
      </c>
      <c r="H284" t="s">
        <v>446</v>
      </c>
      <c r="I284" t="s">
        <v>490</v>
      </c>
      <c r="J284" t="s">
        <v>491</v>
      </c>
    </row>
    <row r="285" spans="1:10" hidden="1" x14ac:dyDescent="0.25">
      <c r="A285" t="s">
        <v>330</v>
      </c>
      <c r="B285" t="s">
        <v>6</v>
      </c>
      <c r="C285" t="s">
        <v>7</v>
      </c>
      <c r="D285" t="s">
        <v>13</v>
      </c>
      <c r="E285" s="2">
        <v>43336.029791666668</v>
      </c>
      <c r="F285" t="s">
        <v>591</v>
      </c>
      <c r="G285" t="s">
        <v>318</v>
      </c>
      <c r="H285" t="s">
        <v>444</v>
      </c>
      <c r="I285" t="s">
        <v>554</v>
      </c>
      <c r="J285" t="s">
        <v>497</v>
      </c>
    </row>
    <row r="286" spans="1:10" hidden="1" x14ac:dyDescent="0.25">
      <c r="A286" t="s">
        <v>5</v>
      </c>
      <c r="B286" t="s">
        <v>6</v>
      </c>
      <c r="C286" t="s">
        <v>7</v>
      </c>
      <c r="D286" t="s">
        <v>13</v>
      </c>
      <c r="E286" s="2">
        <v>43336.02983796296</v>
      </c>
      <c r="F286" t="s">
        <v>590</v>
      </c>
      <c r="G286" t="s">
        <v>427</v>
      </c>
      <c r="H286" t="s">
        <v>432</v>
      </c>
      <c r="I286" t="s">
        <v>513</v>
      </c>
      <c r="J286" t="s">
        <v>513</v>
      </c>
    </row>
    <row r="287" spans="1:10" hidden="1" x14ac:dyDescent="0.25">
      <c r="A287" t="s">
        <v>50</v>
      </c>
      <c r="B287" t="s">
        <v>6</v>
      </c>
      <c r="C287" t="s">
        <v>7</v>
      </c>
      <c r="D287" t="s">
        <v>10</v>
      </c>
      <c r="E287" s="2">
        <v>43336.03</v>
      </c>
      <c r="F287" t="s">
        <v>300</v>
      </c>
      <c r="G287" t="s">
        <v>460</v>
      </c>
      <c r="H287" t="s">
        <v>429</v>
      </c>
      <c r="I287" t="s">
        <v>533</v>
      </c>
      <c r="J287" t="s">
        <v>543</v>
      </c>
    </row>
    <row r="288" spans="1:10" hidden="1" x14ac:dyDescent="0.25">
      <c r="A288" t="s">
        <v>32</v>
      </c>
      <c r="B288" t="s">
        <v>6</v>
      </c>
      <c r="C288" t="s">
        <v>7</v>
      </c>
      <c r="D288" t="s">
        <v>10</v>
      </c>
      <c r="E288" s="2">
        <v>43336.030057870368</v>
      </c>
      <c r="F288" t="s">
        <v>585</v>
      </c>
      <c r="G288" t="s">
        <v>318</v>
      </c>
      <c r="H288" t="s">
        <v>450</v>
      </c>
      <c r="I288" t="s">
        <v>494</v>
      </c>
      <c r="J288" t="s">
        <v>495</v>
      </c>
    </row>
    <row r="289" spans="1:10" hidden="1" x14ac:dyDescent="0.25">
      <c r="A289" t="s">
        <v>372</v>
      </c>
      <c r="B289" t="s">
        <v>6</v>
      </c>
      <c r="C289" t="s">
        <v>7</v>
      </c>
      <c r="D289" t="s">
        <v>10</v>
      </c>
      <c r="E289" s="2">
        <v>43336.030104166668</v>
      </c>
      <c r="F289" t="s">
        <v>587</v>
      </c>
      <c r="G289" t="s">
        <v>385</v>
      </c>
      <c r="H289" t="s">
        <v>428</v>
      </c>
      <c r="I289" t="s">
        <v>490</v>
      </c>
      <c r="J289" t="s">
        <v>491</v>
      </c>
    </row>
    <row r="290" spans="1:10" hidden="1" x14ac:dyDescent="0.25">
      <c r="A290" t="s">
        <v>56</v>
      </c>
      <c r="B290" t="s">
        <v>6</v>
      </c>
      <c r="C290" t="s">
        <v>7</v>
      </c>
      <c r="D290" t="s">
        <v>10</v>
      </c>
      <c r="E290" s="2">
        <v>43336.030127314814</v>
      </c>
      <c r="F290" t="s">
        <v>299</v>
      </c>
      <c r="G290" t="s">
        <v>318</v>
      </c>
      <c r="H290" t="s">
        <v>451</v>
      </c>
      <c r="I290" t="s">
        <v>558</v>
      </c>
      <c r="J290" t="s">
        <v>559</v>
      </c>
    </row>
    <row r="291" spans="1:10" hidden="1" x14ac:dyDescent="0.25">
      <c r="A291" t="s">
        <v>391</v>
      </c>
      <c r="B291" t="s">
        <v>6</v>
      </c>
      <c r="C291" t="s">
        <v>7</v>
      </c>
      <c r="D291" t="s">
        <v>10</v>
      </c>
      <c r="E291" s="2">
        <v>43336.030243055553</v>
      </c>
      <c r="F291" t="s">
        <v>586</v>
      </c>
      <c r="G291" t="s">
        <v>318</v>
      </c>
      <c r="H291" t="s">
        <v>447</v>
      </c>
      <c r="I291" t="s">
        <v>490</v>
      </c>
      <c r="J291" t="s">
        <v>491</v>
      </c>
    </row>
    <row r="292" spans="1:10" hidden="1" x14ac:dyDescent="0.25">
      <c r="A292" t="s">
        <v>422</v>
      </c>
      <c r="B292" t="s">
        <v>6</v>
      </c>
      <c r="C292" t="s">
        <v>7</v>
      </c>
      <c r="D292" t="s">
        <v>13</v>
      </c>
      <c r="E292" s="2">
        <v>43336.03052083333</v>
      </c>
      <c r="F292" t="s">
        <v>591</v>
      </c>
      <c r="G292" t="s">
        <v>318</v>
      </c>
      <c r="H292" t="s">
        <v>445</v>
      </c>
      <c r="I292" t="s">
        <v>554</v>
      </c>
      <c r="J292" t="s">
        <v>497</v>
      </c>
    </row>
    <row r="293" spans="1:10" hidden="1" x14ac:dyDescent="0.25">
      <c r="A293" t="s">
        <v>49</v>
      </c>
      <c r="B293" t="s">
        <v>6</v>
      </c>
      <c r="C293" t="s">
        <v>7</v>
      </c>
      <c r="D293" t="s">
        <v>10</v>
      </c>
      <c r="E293" s="2">
        <v>43336.030624999999</v>
      </c>
      <c r="F293" t="s">
        <v>300</v>
      </c>
      <c r="G293" t="s">
        <v>460</v>
      </c>
      <c r="H293" t="s">
        <v>430</v>
      </c>
      <c r="I293" t="s">
        <v>533</v>
      </c>
      <c r="J293" t="s">
        <v>543</v>
      </c>
    </row>
    <row r="294" spans="1:10" hidden="1" x14ac:dyDescent="0.25">
      <c r="A294" t="s">
        <v>296</v>
      </c>
      <c r="B294" t="s">
        <v>6</v>
      </c>
      <c r="C294" t="s">
        <v>7</v>
      </c>
      <c r="D294" t="s">
        <v>10</v>
      </c>
      <c r="E294" s="2">
        <v>43336.030694444446</v>
      </c>
      <c r="F294" t="s">
        <v>585</v>
      </c>
      <c r="G294" t="s">
        <v>318</v>
      </c>
      <c r="H294" t="s">
        <v>451</v>
      </c>
      <c r="I294" t="s">
        <v>494</v>
      </c>
      <c r="J294" t="s">
        <v>495</v>
      </c>
    </row>
    <row r="295" spans="1:10" hidden="1" x14ac:dyDescent="0.25">
      <c r="A295" t="s">
        <v>283</v>
      </c>
      <c r="B295" t="s">
        <v>6</v>
      </c>
      <c r="C295" t="s">
        <v>7</v>
      </c>
      <c r="D295" t="s">
        <v>13</v>
      </c>
      <c r="E295" s="2">
        <v>43336.030717592592</v>
      </c>
      <c r="F295" t="s">
        <v>590</v>
      </c>
      <c r="G295" t="s">
        <v>427</v>
      </c>
      <c r="H295" t="s">
        <v>433</v>
      </c>
      <c r="I295" t="s">
        <v>513</v>
      </c>
      <c r="J295" t="s">
        <v>513</v>
      </c>
    </row>
    <row r="296" spans="1:10" hidden="1" x14ac:dyDescent="0.25">
      <c r="A296" t="s">
        <v>373</v>
      </c>
      <c r="B296" t="s">
        <v>6</v>
      </c>
      <c r="C296" t="s">
        <v>7</v>
      </c>
      <c r="D296" t="s">
        <v>10</v>
      </c>
      <c r="E296" s="2">
        <v>43336.030729166669</v>
      </c>
      <c r="F296" t="s">
        <v>587</v>
      </c>
      <c r="G296" t="s">
        <v>385</v>
      </c>
      <c r="H296" t="s">
        <v>429</v>
      </c>
      <c r="I296" t="s">
        <v>563</v>
      </c>
      <c r="J296" t="s">
        <v>491</v>
      </c>
    </row>
    <row r="297" spans="1:10" hidden="1" x14ac:dyDescent="0.25">
      <c r="A297" t="s">
        <v>78</v>
      </c>
      <c r="B297" t="s">
        <v>6</v>
      </c>
      <c r="C297" t="s">
        <v>7</v>
      </c>
      <c r="D297" t="s">
        <v>10</v>
      </c>
      <c r="E297" s="2">
        <v>43336.030810185184</v>
      </c>
      <c r="F297" t="s">
        <v>299</v>
      </c>
      <c r="G297" t="s">
        <v>318</v>
      </c>
      <c r="H297" t="s">
        <v>452</v>
      </c>
      <c r="I297" t="s">
        <v>558</v>
      </c>
      <c r="J297" t="s">
        <v>559</v>
      </c>
    </row>
    <row r="298" spans="1:10" hidden="1" x14ac:dyDescent="0.25">
      <c r="A298" t="s">
        <v>364</v>
      </c>
      <c r="B298" t="s">
        <v>6</v>
      </c>
      <c r="C298" t="s">
        <v>7</v>
      </c>
      <c r="D298" t="s">
        <v>13</v>
      </c>
      <c r="E298" s="2">
        <v>43336.0309837963</v>
      </c>
      <c r="F298" t="s">
        <v>586</v>
      </c>
      <c r="G298" t="s">
        <v>318</v>
      </c>
      <c r="H298" t="s">
        <v>448</v>
      </c>
      <c r="I298" t="s">
        <v>490</v>
      </c>
      <c r="J298" t="s">
        <v>491</v>
      </c>
    </row>
    <row r="299" spans="1:10" hidden="1" x14ac:dyDescent="0.25">
      <c r="A299" t="s">
        <v>388</v>
      </c>
      <c r="B299" t="s">
        <v>6</v>
      </c>
      <c r="C299" t="s">
        <v>7</v>
      </c>
      <c r="D299" t="s">
        <v>13</v>
      </c>
      <c r="E299" s="2">
        <v>43336.031261574077</v>
      </c>
      <c r="F299" t="s">
        <v>591</v>
      </c>
      <c r="G299" t="s">
        <v>318</v>
      </c>
      <c r="H299" t="s">
        <v>446</v>
      </c>
      <c r="I299" t="s">
        <v>554</v>
      </c>
      <c r="J299" t="s">
        <v>497</v>
      </c>
    </row>
    <row r="300" spans="1:10" hidden="1" x14ac:dyDescent="0.25">
      <c r="A300" t="s">
        <v>31</v>
      </c>
      <c r="B300" t="s">
        <v>6</v>
      </c>
      <c r="C300" t="s">
        <v>7</v>
      </c>
      <c r="D300" t="s">
        <v>10</v>
      </c>
      <c r="E300" s="2">
        <v>43336.031331018516</v>
      </c>
      <c r="F300" t="s">
        <v>585</v>
      </c>
      <c r="G300" t="s">
        <v>318</v>
      </c>
      <c r="H300" t="s">
        <v>452</v>
      </c>
      <c r="I300" t="s">
        <v>494</v>
      </c>
      <c r="J300" t="s">
        <v>495</v>
      </c>
    </row>
    <row r="301" spans="1:10" hidden="1" x14ac:dyDescent="0.25">
      <c r="A301" t="s">
        <v>374</v>
      </c>
      <c r="B301" t="s">
        <v>6</v>
      </c>
      <c r="C301" t="s">
        <v>7</v>
      </c>
      <c r="D301" t="s">
        <v>10</v>
      </c>
      <c r="E301" s="2">
        <v>43336.031342592592</v>
      </c>
      <c r="F301" t="s">
        <v>587</v>
      </c>
      <c r="G301" t="s">
        <v>385</v>
      </c>
      <c r="H301" t="s">
        <v>430</v>
      </c>
      <c r="I301" t="s">
        <v>564</v>
      </c>
      <c r="J301" t="s">
        <v>491</v>
      </c>
    </row>
    <row r="302" spans="1:10" hidden="1" x14ac:dyDescent="0.25">
      <c r="A302" t="s">
        <v>86</v>
      </c>
      <c r="B302" t="s">
        <v>6</v>
      </c>
      <c r="C302" t="s">
        <v>7</v>
      </c>
      <c r="D302" t="s">
        <v>13</v>
      </c>
      <c r="E302" s="2">
        <v>43336.031481481485</v>
      </c>
      <c r="F302" t="s">
        <v>590</v>
      </c>
      <c r="G302" t="s">
        <v>427</v>
      </c>
      <c r="H302" t="s">
        <v>434</v>
      </c>
      <c r="I302" t="s">
        <v>513</v>
      </c>
      <c r="J302" t="s">
        <v>513</v>
      </c>
    </row>
    <row r="303" spans="1:10" hidden="1" x14ac:dyDescent="0.25">
      <c r="A303" t="s">
        <v>386</v>
      </c>
      <c r="B303" t="s">
        <v>6</v>
      </c>
      <c r="C303" t="s">
        <v>7</v>
      </c>
      <c r="D303" t="s">
        <v>10</v>
      </c>
      <c r="E303" s="2">
        <v>43336.031597222223</v>
      </c>
      <c r="F303" t="s">
        <v>586</v>
      </c>
      <c r="G303" t="s">
        <v>318</v>
      </c>
      <c r="H303" t="s">
        <v>449</v>
      </c>
      <c r="I303" t="s">
        <v>490</v>
      </c>
      <c r="J303" t="s">
        <v>491</v>
      </c>
    </row>
    <row r="304" spans="1:10" hidden="1" x14ac:dyDescent="0.25">
      <c r="A304" t="s">
        <v>333</v>
      </c>
      <c r="B304" t="s">
        <v>6</v>
      </c>
      <c r="C304" t="s">
        <v>7</v>
      </c>
      <c r="D304" t="s">
        <v>13</v>
      </c>
      <c r="E304" s="2">
        <v>43336.032025462962</v>
      </c>
      <c r="F304" t="s">
        <v>591</v>
      </c>
      <c r="G304" t="s">
        <v>318</v>
      </c>
      <c r="H304" t="s">
        <v>447</v>
      </c>
      <c r="I304" t="s">
        <v>554</v>
      </c>
      <c r="J304" t="s">
        <v>497</v>
      </c>
    </row>
    <row r="305" spans="1:10" hidden="1" x14ac:dyDescent="0.25">
      <c r="A305" t="s">
        <v>375</v>
      </c>
      <c r="B305" t="s">
        <v>6</v>
      </c>
      <c r="C305" t="s">
        <v>7</v>
      </c>
      <c r="D305" t="s">
        <v>10</v>
      </c>
      <c r="E305" s="2">
        <v>43336.032094907408</v>
      </c>
      <c r="F305" t="s">
        <v>587</v>
      </c>
      <c r="G305" t="s">
        <v>385</v>
      </c>
      <c r="H305" t="s">
        <v>431</v>
      </c>
      <c r="I305" t="s">
        <v>566</v>
      </c>
      <c r="J305" t="s">
        <v>491</v>
      </c>
    </row>
    <row r="306" spans="1:10" hidden="1" x14ac:dyDescent="0.25">
      <c r="A306" t="s">
        <v>116</v>
      </c>
      <c r="B306" t="s">
        <v>6</v>
      </c>
      <c r="C306" t="s">
        <v>7</v>
      </c>
      <c r="D306" t="s">
        <v>13</v>
      </c>
      <c r="E306" s="2">
        <v>43336.032233796293</v>
      </c>
      <c r="F306" t="s">
        <v>590</v>
      </c>
      <c r="G306" t="s">
        <v>427</v>
      </c>
      <c r="H306" t="s">
        <v>435</v>
      </c>
      <c r="I306" t="s">
        <v>513</v>
      </c>
      <c r="J306" t="s">
        <v>513</v>
      </c>
    </row>
    <row r="307" spans="1:10" hidden="1" x14ac:dyDescent="0.25">
      <c r="A307" t="s">
        <v>392</v>
      </c>
      <c r="B307" t="s">
        <v>6</v>
      </c>
      <c r="C307" t="s">
        <v>7</v>
      </c>
      <c r="D307" t="s">
        <v>13</v>
      </c>
      <c r="E307" s="2">
        <v>43336.032349537039</v>
      </c>
      <c r="F307" t="s">
        <v>586</v>
      </c>
      <c r="G307" t="s">
        <v>318</v>
      </c>
      <c r="H307" t="s">
        <v>450</v>
      </c>
      <c r="I307" t="s">
        <v>490</v>
      </c>
      <c r="J307" t="s">
        <v>491</v>
      </c>
    </row>
    <row r="308" spans="1:10" hidden="1" x14ac:dyDescent="0.25">
      <c r="A308" t="s">
        <v>343</v>
      </c>
      <c r="B308" t="s">
        <v>6</v>
      </c>
      <c r="C308" t="s">
        <v>7</v>
      </c>
      <c r="D308" t="s">
        <v>10</v>
      </c>
      <c r="E308" s="2">
        <v>43336.032731481479</v>
      </c>
      <c r="F308" t="s">
        <v>587</v>
      </c>
      <c r="G308" t="s">
        <v>385</v>
      </c>
      <c r="H308" t="s">
        <v>432</v>
      </c>
      <c r="I308" t="s">
        <v>567</v>
      </c>
      <c r="J308" t="s">
        <v>491</v>
      </c>
    </row>
    <row r="309" spans="1:10" hidden="1" x14ac:dyDescent="0.25">
      <c r="A309" t="s">
        <v>308</v>
      </c>
      <c r="B309" t="s">
        <v>6</v>
      </c>
      <c r="C309" t="s">
        <v>7</v>
      </c>
      <c r="D309" t="s">
        <v>13</v>
      </c>
      <c r="E309" s="2">
        <v>43336.032789351855</v>
      </c>
      <c r="F309" t="s">
        <v>591</v>
      </c>
      <c r="G309" t="s">
        <v>318</v>
      </c>
      <c r="H309" t="s">
        <v>448</v>
      </c>
      <c r="I309" t="s">
        <v>554</v>
      </c>
      <c r="J309" t="s">
        <v>497</v>
      </c>
    </row>
    <row r="310" spans="1:10" hidden="1" x14ac:dyDescent="0.25">
      <c r="A310" t="s">
        <v>85</v>
      </c>
      <c r="B310" t="s">
        <v>6</v>
      </c>
      <c r="C310" t="s">
        <v>7</v>
      </c>
      <c r="D310" t="s">
        <v>476</v>
      </c>
      <c r="E310" s="2">
        <v>43336.03297453704</v>
      </c>
      <c r="F310" t="s">
        <v>590</v>
      </c>
      <c r="G310" t="s">
        <v>427</v>
      </c>
      <c r="H310" t="s">
        <v>436</v>
      </c>
      <c r="I310" t="s">
        <v>513</v>
      </c>
      <c r="J310" t="s">
        <v>513</v>
      </c>
    </row>
    <row r="311" spans="1:10" hidden="1" x14ac:dyDescent="0.25">
      <c r="A311" t="s">
        <v>393</v>
      </c>
      <c r="B311" t="s">
        <v>6</v>
      </c>
      <c r="C311" t="s">
        <v>7</v>
      </c>
      <c r="D311" t="s">
        <v>10</v>
      </c>
      <c r="E311" s="2">
        <v>43336.033090277779</v>
      </c>
      <c r="F311" t="s">
        <v>586</v>
      </c>
      <c r="G311" t="s">
        <v>318</v>
      </c>
      <c r="H311" t="s">
        <v>451</v>
      </c>
      <c r="I311" t="s">
        <v>490</v>
      </c>
      <c r="J311" t="s">
        <v>491</v>
      </c>
    </row>
    <row r="312" spans="1:10" hidden="1" x14ac:dyDescent="0.25">
      <c r="A312" t="s">
        <v>344</v>
      </c>
      <c r="B312" t="s">
        <v>6</v>
      </c>
      <c r="C312" t="s">
        <v>7</v>
      </c>
      <c r="D312" t="s">
        <v>10</v>
      </c>
      <c r="E312" s="2">
        <v>43336.033356481479</v>
      </c>
      <c r="F312" t="s">
        <v>587</v>
      </c>
      <c r="G312" t="s">
        <v>385</v>
      </c>
      <c r="H312" t="s">
        <v>433</v>
      </c>
      <c r="I312" t="s">
        <v>569</v>
      </c>
      <c r="J312" t="s">
        <v>491</v>
      </c>
    </row>
    <row r="313" spans="1:10" hidden="1" x14ac:dyDescent="0.25">
      <c r="A313" t="s">
        <v>423</v>
      </c>
      <c r="B313" t="s">
        <v>6</v>
      </c>
      <c r="C313" t="s">
        <v>7</v>
      </c>
      <c r="D313" t="s">
        <v>13</v>
      </c>
      <c r="E313" s="2">
        <v>43336.033518518518</v>
      </c>
      <c r="F313" t="s">
        <v>591</v>
      </c>
      <c r="G313" t="s">
        <v>318</v>
      </c>
      <c r="H313" t="s">
        <v>449</v>
      </c>
      <c r="I313" t="s">
        <v>554</v>
      </c>
      <c r="J313" t="s">
        <v>497</v>
      </c>
    </row>
    <row r="314" spans="1:10" hidden="1" x14ac:dyDescent="0.25">
      <c r="A314" t="s">
        <v>84</v>
      </c>
      <c r="B314" t="s">
        <v>6</v>
      </c>
      <c r="C314" t="s">
        <v>7</v>
      </c>
      <c r="D314" t="s">
        <v>10</v>
      </c>
      <c r="E314" s="2">
        <v>43336.033599537041</v>
      </c>
      <c r="F314" t="s">
        <v>590</v>
      </c>
      <c r="G314" t="s">
        <v>427</v>
      </c>
      <c r="H314" t="s">
        <v>437</v>
      </c>
      <c r="I314" t="s">
        <v>513</v>
      </c>
      <c r="J314" t="s">
        <v>513</v>
      </c>
    </row>
    <row r="315" spans="1:10" hidden="1" x14ac:dyDescent="0.25">
      <c r="A315" t="s">
        <v>394</v>
      </c>
      <c r="B315" t="s">
        <v>6</v>
      </c>
      <c r="C315" t="s">
        <v>7</v>
      </c>
      <c r="D315" t="s">
        <v>10</v>
      </c>
      <c r="E315" s="2">
        <v>43336.033692129633</v>
      </c>
      <c r="F315" t="s">
        <v>586</v>
      </c>
      <c r="G315" t="s">
        <v>318</v>
      </c>
      <c r="H315" t="s">
        <v>452</v>
      </c>
      <c r="I315" t="s">
        <v>490</v>
      </c>
      <c r="J315" t="s">
        <v>491</v>
      </c>
    </row>
    <row r="316" spans="1:10" hidden="1" x14ac:dyDescent="0.25">
      <c r="A316" t="s">
        <v>345</v>
      </c>
      <c r="B316" t="s">
        <v>6</v>
      </c>
      <c r="C316" t="s">
        <v>7</v>
      </c>
      <c r="D316" t="s">
        <v>10</v>
      </c>
      <c r="E316" s="2">
        <v>43336.033993055556</v>
      </c>
      <c r="F316" t="s">
        <v>587</v>
      </c>
      <c r="G316" t="s">
        <v>385</v>
      </c>
      <c r="H316" t="s">
        <v>434</v>
      </c>
      <c r="I316" t="s">
        <v>571</v>
      </c>
      <c r="J316" t="s">
        <v>491</v>
      </c>
    </row>
    <row r="317" spans="1:10" hidden="1" x14ac:dyDescent="0.25">
      <c r="A317" t="s">
        <v>83</v>
      </c>
      <c r="B317" t="s">
        <v>6</v>
      </c>
      <c r="C317" t="s">
        <v>7</v>
      </c>
      <c r="D317" t="s">
        <v>10</v>
      </c>
      <c r="E317" s="2">
        <v>43336.034224537034</v>
      </c>
      <c r="F317" t="s">
        <v>590</v>
      </c>
      <c r="G317" t="s">
        <v>427</v>
      </c>
      <c r="H317" t="s">
        <v>438</v>
      </c>
      <c r="I317" t="s">
        <v>513</v>
      </c>
      <c r="J317" t="s">
        <v>513</v>
      </c>
    </row>
    <row r="318" spans="1:10" hidden="1" x14ac:dyDescent="0.25">
      <c r="A318" t="s">
        <v>424</v>
      </c>
      <c r="B318" t="s">
        <v>6</v>
      </c>
      <c r="C318" t="s">
        <v>7</v>
      </c>
      <c r="D318" t="s">
        <v>13</v>
      </c>
      <c r="E318" s="2">
        <v>43336.034259259257</v>
      </c>
      <c r="F318" t="s">
        <v>591</v>
      </c>
      <c r="G318" t="s">
        <v>318</v>
      </c>
      <c r="H318" t="s">
        <v>450</v>
      </c>
      <c r="I318" t="s">
        <v>554</v>
      </c>
      <c r="J318" t="s">
        <v>497</v>
      </c>
    </row>
    <row r="319" spans="1:10" hidden="1" x14ac:dyDescent="0.25">
      <c r="A319" t="s">
        <v>346</v>
      </c>
      <c r="B319" t="s">
        <v>6</v>
      </c>
      <c r="C319" t="s">
        <v>7</v>
      </c>
      <c r="D319" t="s">
        <v>10</v>
      </c>
      <c r="E319" s="2">
        <v>43336.034618055557</v>
      </c>
      <c r="F319" t="s">
        <v>587</v>
      </c>
      <c r="G319" t="s">
        <v>385</v>
      </c>
      <c r="H319" t="s">
        <v>435</v>
      </c>
      <c r="I319" t="s">
        <v>570</v>
      </c>
      <c r="J319" t="s">
        <v>491</v>
      </c>
    </row>
    <row r="320" spans="1:10" hidden="1" x14ac:dyDescent="0.25">
      <c r="A320" t="s">
        <v>417</v>
      </c>
      <c r="B320" t="s">
        <v>6</v>
      </c>
      <c r="C320" t="s">
        <v>7</v>
      </c>
      <c r="D320" t="s">
        <v>10</v>
      </c>
      <c r="E320" s="2">
        <v>43336.034895833334</v>
      </c>
      <c r="F320" t="s">
        <v>591</v>
      </c>
      <c r="G320" t="s">
        <v>318</v>
      </c>
      <c r="H320" t="s">
        <v>451</v>
      </c>
      <c r="I320" t="s">
        <v>490</v>
      </c>
      <c r="J320" t="s">
        <v>497</v>
      </c>
    </row>
    <row r="321" spans="1:10" hidden="1" x14ac:dyDescent="0.25">
      <c r="A321" t="s">
        <v>419</v>
      </c>
      <c r="B321" t="s">
        <v>6</v>
      </c>
      <c r="C321" t="s">
        <v>7</v>
      </c>
      <c r="D321" t="s">
        <v>10</v>
      </c>
      <c r="E321" s="2">
        <v>43336.035520833335</v>
      </c>
      <c r="F321" t="s">
        <v>591</v>
      </c>
      <c r="G321" t="s">
        <v>318</v>
      </c>
      <c r="H321" t="s">
        <v>452</v>
      </c>
      <c r="I321" t="s">
        <v>490</v>
      </c>
      <c r="J321" t="s">
        <v>497</v>
      </c>
    </row>
    <row r="322" spans="1:10" hidden="1" x14ac:dyDescent="0.25">
      <c r="A322" t="s">
        <v>148</v>
      </c>
      <c r="B322" t="s">
        <v>6</v>
      </c>
      <c r="C322" t="s">
        <v>7</v>
      </c>
      <c r="D322" t="s">
        <v>10</v>
      </c>
      <c r="E322" s="2">
        <v>43336.044444444444</v>
      </c>
      <c r="F322" t="s">
        <v>302</v>
      </c>
      <c r="G322" t="s">
        <v>453</v>
      </c>
      <c r="H322" t="s">
        <v>450</v>
      </c>
      <c r="I322" t="s">
        <v>498</v>
      </c>
      <c r="J322" t="s">
        <v>498</v>
      </c>
    </row>
    <row r="323" spans="1:10" hidden="1" x14ac:dyDescent="0.25">
      <c r="A323" t="s">
        <v>241</v>
      </c>
      <c r="B323" t="s">
        <v>6</v>
      </c>
      <c r="C323" t="s">
        <v>7</v>
      </c>
      <c r="D323" t="s">
        <v>10</v>
      </c>
      <c r="E323" s="2">
        <v>43336.045057870368</v>
      </c>
      <c r="F323" t="s">
        <v>302</v>
      </c>
      <c r="G323" t="s">
        <v>453</v>
      </c>
      <c r="H323" t="s">
        <v>451</v>
      </c>
      <c r="I323" t="s">
        <v>498</v>
      </c>
      <c r="J323" t="s">
        <v>498</v>
      </c>
    </row>
    <row r="324" spans="1:10" hidden="1" x14ac:dyDescent="0.25">
      <c r="A324" t="s">
        <v>377</v>
      </c>
      <c r="B324" t="s">
        <v>6</v>
      </c>
      <c r="C324" t="s">
        <v>7</v>
      </c>
      <c r="D324" t="s">
        <v>10</v>
      </c>
      <c r="E324" s="2">
        <v>43336.045208333337</v>
      </c>
      <c r="F324" t="s">
        <v>298</v>
      </c>
      <c r="G324" t="s">
        <v>318</v>
      </c>
      <c r="H324" t="s">
        <v>318</v>
      </c>
      <c r="I324" t="s">
        <v>581</v>
      </c>
      <c r="J324" t="s">
        <v>581</v>
      </c>
    </row>
    <row r="325" spans="1:10" hidden="1" x14ac:dyDescent="0.25">
      <c r="A325" t="s">
        <v>384</v>
      </c>
      <c r="B325" t="s">
        <v>6</v>
      </c>
      <c r="C325" t="s">
        <v>7</v>
      </c>
      <c r="D325" t="s">
        <v>10</v>
      </c>
      <c r="E325" s="2">
        <v>43336.04583333333</v>
      </c>
      <c r="F325" t="s">
        <v>298</v>
      </c>
      <c r="G325" t="s">
        <v>318</v>
      </c>
      <c r="H325" t="s">
        <v>323</v>
      </c>
      <c r="I325" t="s">
        <v>581</v>
      </c>
      <c r="J325" t="s">
        <v>581</v>
      </c>
    </row>
    <row r="326" spans="1:10" hidden="1" x14ac:dyDescent="0.25">
      <c r="A326" t="s">
        <v>111</v>
      </c>
      <c r="B326" t="s">
        <v>6</v>
      </c>
      <c r="C326" t="s">
        <v>7</v>
      </c>
      <c r="D326" t="s">
        <v>10</v>
      </c>
      <c r="E326" s="2">
        <v>43336.046180555553</v>
      </c>
      <c r="F326" t="s">
        <v>299</v>
      </c>
      <c r="G326" t="s">
        <v>318</v>
      </c>
      <c r="H326" t="s">
        <v>318</v>
      </c>
      <c r="I326" t="s">
        <v>492</v>
      </c>
      <c r="J326" t="s">
        <v>493</v>
      </c>
    </row>
    <row r="327" spans="1:10" hidden="1" x14ac:dyDescent="0.25">
      <c r="A327" t="s">
        <v>326</v>
      </c>
      <c r="B327" t="s">
        <v>6</v>
      </c>
      <c r="C327" t="s">
        <v>7</v>
      </c>
      <c r="D327" t="s">
        <v>10</v>
      </c>
      <c r="E327" s="2">
        <v>43336.046643518515</v>
      </c>
      <c r="F327" t="s">
        <v>298</v>
      </c>
      <c r="G327" t="s">
        <v>318</v>
      </c>
      <c r="H327" t="s">
        <v>385</v>
      </c>
      <c r="I327" t="s">
        <v>581</v>
      </c>
      <c r="J327" t="s">
        <v>581</v>
      </c>
    </row>
    <row r="328" spans="1:10" hidden="1" x14ac:dyDescent="0.25">
      <c r="A328" t="s">
        <v>110</v>
      </c>
      <c r="B328" t="s">
        <v>6</v>
      </c>
      <c r="C328" t="s">
        <v>7</v>
      </c>
      <c r="D328" t="s">
        <v>10</v>
      </c>
      <c r="E328" s="2">
        <v>43336.046805555554</v>
      </c>
      <c r="F328" t="s">
        <v>299</v>
      </c>
      <c r="G328" t="s">
        <v>318</v>
      </c>
      <c r="H328" t="s">
        <v>323</v>
      </c>
      <c r="I328" t="s">
        <v>492</v>
      </c>
      <c r="J328" t="s">
        <v>493</v>
      </c>
    </row>
    <row r="329" spans="1:10" hidden="1" x14ac:dyDescent="0.25">
      <c r="A329" t="s">
        <v>272</v>
      </c>
      <c r="B329" t="s">
        <v>6</v>
      </c>
      <c r="C329" t="s">
        <v>7</v>
      </c>
      <c r="D329" t="s">
        <v>10</v>
      </c>
      <c r="E329" s="2">
        <v>43336.046863425923</v>
      </c>
      <c r="F329" t="s">
        <v>300</v>
      </c>
      <c r="G329" t="s">
        <v>461</v>
      </c>
      <c r="H329" t="s">
        <v>431</v>
      </c>
      <c r="I329" t="s">
        <v>494</v>
      </c>
      <c r="J329" t="s">
        <v>582</v>
      </c>
    </row>
    <row r="330" spans="1:10" hidden="1" x14ac:dyDescent="0.25">
      <c r="A330" t="s">
        <v>463</v>
      </c>
      <c r="B330" t="s">
        <v>6</v>
      </c>
      <c r="C330" t="s">
        <v>7</v>
      </c>
      <c r="D330" t="s">
        <v>10</v>
      </c>
      <c r="E330" s="2">
        <v>43336.047361111108</v>
      </c>
      <c r="F330" t="s">
        <v>298</v>
      </c>
      <c r="G330" t="s">
        <v>318</v>
      </c>
      <c r="H330" t="s">
        <v>457</v>
      </c>
      <c r="I330" t="s">
        <v>581</v>
      </c>
      <c r="J330" t="s">
        <v>581</v>
      </c>
    </row>
    <row r="331" spans="1:10" hidden="1" x14ac:dyDescent="0.25">
      <c r="A331" t="s">
        <v>109</v>
      </c>
      <c r="B331" t="s">
        <v>6</v>
      </c>
      <c r="C331" t="s">
        <v>7</v>
      </c>
      <c r="D331" t="s">
        <v>10</v>
      </c>
      <c r="E331" s="2">
        <v>43336.047430555554</v>
      </c>
      <c r="F331" t="s">
        <v>299</v>
      </c>
      <c r="G331" t="s">
        <v>318</v>
      </c>
      <c r="H331" t="s">
        <v>385</v>
      </c>
      <c r="I331" t="s">
        <v>533</v>
      </c>
      <c r="J331" t="s">
        <v>543</v>
      </c>
    </row>
    <row r="332" spans="1:10" hidden="1" x14ac:dyDescent="0.25">
      <c r="A332" t="s">
        <v>282</v>
      </c>
      <c r="B332" t="s">
        <v>6</v>
      </c>
      <c r="C332" t="s">
        <v>7</v>
      </c>
      <c r="D332" t="s">
        <v>10</v>
      </c>
      <c r="E332" s="2">
        <v>43336.047488425924</v>
      </c>
      <c r="F332" t="s">
        <v>300</v>
      </c>
      <c r="G332" t="s">
        <v>461</v>
      </c>
      <c r="H332" t="s">
        <v>432</v>
      </c>
      <c r="I332" t="s">
        <v>494</v>
      </c>
      <c r="J332" t="s">
        <v>582</v>
      </c>
    </row>
    <row r="333" spans="1:10" hidden="1" x14ac:dyDescent="0.25">
      <c r="A333" t="s">
        <v>284</v>
      </c>
      <c r="B333" t="s">
        <v>6</v>
      </c>
      <c r="C333" t="s">
        <v>7</v>
      </c>
      <c r="D333" t="s">
        <v>13</v>
      </c>
      <c r="E333" s="2">
        <v>43336.047511574077</v>
      </c>
      <c r="F333" t="s">
        <v>303</v>
      </c>
      <c r="G333" t="s">
        <v>426</v>
      </c>
      <c r="H333" t="s">
        <v>427</v>
      </c>
      <c r="I333" t="s">
        <v>494</v>
      </c>
      <c r="J333" t="s">
        <v>544</v>
      </c>
    </row>
    <row r="334" spans="1:10" hidden="1" x14ac:dyDescent="0.25">
      <c r="A334" t="s">
        <v>464</v>
      </c>
      <c r="B334" t="s">
        <v>6</v>
      </c>
      <c r="C334" t="s">
        <v>7</v>
      </c>
      <c r="D334" t="s">
        <v>10</v>
      </c>
      <c r="E334" s="2">
        <v>43336.048067129632</v>
      </c>
      <c r="F334" t="s">
        <v>298</v>
      </c>
      <c r="G334" t="s">
        <v>318</v>
      </c>
      <c r="H334" t="s">
        <v>458</v>
      </c>
      <c r="I334" t="s">
        <v>581</v>
      </c>
      <c r="J334" t="s">
        <v>581</v>
      </c>
    </row>
    <row r="335" spans="1:10" hidden="1" x14ac:dyDescent="0.25">
      <c r="A335" t="s">
        <v>104</v>
      </c>
      <c r="B335" t="s">
        <v>6</v>
      </c>
      <c r="C335" t="s">
        <v>7</v>
      </c>
      <c r="D335" t="s">
        <v>10</v>
      </c>
      <c r="E335" s="2">
        <v>43336.048078703701</v>
      </c>
      <c r="F335" t="s">
        <v>299</v>
      </c>
      <c r="G335" t="s">
        <v>318</v>
      </c>
      <c r="H335" t="s">
        <v>457</v>
      </c>
      <c r="I335" t="s">
        <v>533</v>
      </c>
      <c r="J335" t="s">
        <v>543</v>
      </c>
    </row>
    <row r="336" spans="1:10" hidden="1" x14ac:dyDescent="0.25">
      <c r="A336" t="s">
        <v>245</v>
      </c>
      <c r="B336" t="s">
        <v>6</v>
      </c>
      <c r="C336" t="s">
        <v>7</v>
      </c>
      <c r="D336" t="s">
        <v>10</v>
      </c>
      <c r="E336" s="2">
        <v>43336.048113425924</v>
      </c>
      <c r="F336" t="s">
        <v>300</v>
      </c>
      <c r="G336" t="s">
        <v>461</v>
      </c>
      <c r="H336" t="s">
        <v>433</v>
      </c>
      <c r="I336" t="s">
        <v>494</v>
      </c>
      <c r="J336" t="s">
        <v>582</v>
      </c>
    </row>
    <row r="337" spans="1:10" hidden="1" x14ac:dyDescent="0.25">
      <c r="A337" t="s">
        <v>215</v>
      </c>
      <c r="B337" t="s">
        <v>6</v>
      </c>
      <c r="C337" t="s">
        <v>7</v>
      </c>
      <c r="D337" t="s">
        <v>10</v>
      </c>
      <c r="E337" s="2">
        <v>43336.048148148147</v>
      </c>
      <c r="F337" t="s">
        <v>303</v>
      </c>
      <c r="G337" t="s">
        <v>426</v>
      </c>
      <c r="H337" t="s">
        <v>428</v>
      </c>
      <c r="I337" t="s">
        <v>494</v>
      </c>
      <c r="J337" t="s">
        <v>501</v>
      </c>
    </row>
    <row r="338" spans="1:10" hidden="1" x14ac:dyDescent="0.25">
      <c r="A338" t="s">
        <v>172</v>
      </c>
      <c r="B338" t="s">
        <v>306</v>
      </c>
      <c r="C338" t="s">
        <v>306</v>
      </c>
      <c r="D338" t="s">
        <v>307</v>
      </c>
      <c r="E338" s="2">
        <v>43336.048171296294</v>
      </c>
      <c r="F338" t="s">
        <v>585</v>
      </c>
      <c r="G338" t="s">
        <v>318</v>
      </c>
      <c r="H338" t="s">
        <v>318</v>
      </c>
      <c r="I338" t="s">
        <v>494</v>
      </c>
      <c r="J338" t="s">
        <v>501</v>
      </c>
    </row>
    <row r="339" spans="1:10" hidden="1" x14ac:dyDescent="0.25">
      <c r="A339" t="s">
        <v>246</v>
      </c>
      <c r="B339" t="s">
        <v>6</v>
      </c>
      <c r="C339" t="s">
        <v>7</v>
      </c>
      <c r="D339" t="s">
        <v>10</v>
      </c>
      <c r="E339" s="2">
        <v>43336.048773148148</v>
      </c>
      <c r="F339" t="s">
        <v>300</v>
      </c>
      <c r="G339" t="s">
        <v>461</v>
      </c>
      <c r="H339" t="s">
        <v>434</v>
      </c>
      <c r="I339" t="s">
        <v>494</v>
      </c>
      <c r="J339" t="s">
        <v>582</v>
      </c>
    </row>
    <row r="340" spans="1:10" hidden="1" x14ac:dyDescent="0.25">
      <c r="A340" t="s">
        <v>98</v>
      </c>
      <c r="B340" t="s">
        <v>6</v>
      </c>
      <c r="C340" t="s">
        <v>7</v>
      </c>
      <c r="D340" t="s">
        <v>476</v>
      </c>
      <c r="E340" s="2">
        <v>43336.048784722225</v>
      </c>
      <c r="F340" t="s">
        <v>299</v>
      </c>
      <c r="G340" t="s">
        <v>318</v>
      </c>
      <c r="H340" t="s">
        <v>458</v>
      </c>
      <c r="I340" t="s">
        <v>545</v>
      </c>
      <c r="J340" t="s">
        <v>497</v>
      </c>
    </row>
    <row r="341" spans="1:10" hidden="1" x14ac:dyDescent="0.25">
      <c r="A341" t="s">
        <v>482</v>
      </c>
      <c r="B341" t="s">
        <v>6</v>
      </c>
      <c r="C341" t="s">
        <v>7</v>
      </c>
      <c r="D341" t="s">
        <v>10</v>
      </c>
      <c r="E341" s="2">
        <v>43336.048784722225</v>
      </c>
      <c r="F341" t="s">
        <v>298</v>
      </c>
      <c r="G341" t="s">
        <v>318</v>
      </c>
      <c r="H341" t="s">
        <v>459</v>
      </c>
      <c r="I341" t="s">
        <v>581</v>
      </c>
      <c r="J341" t="s">
        <v>581</v>
      </c>
    </row>
    <row r="342" spans="1:10" hidden="1" x14ac:dyDescent="0.25">
      <c r="A342" t="s">
        <v>123</v>
      </c>
      <c r="B342" t="s">
        <v>306</v>
      </c>
      <c r="C342" t="s">
        <v>306</v>
      </c>
      <c r="D342" t="s">
        <v>307</v>
      </c>
      <c r="E342" s="2">
        <v>43336.048796296294</v>
      </c>
      <c r="F342" t="s">
        <v>590</v>
      </c>
      <c r="G342" t="s">
        <v>428</v>
      </c>
      <c r="H342" t="s">
        <v>439</v>
      </c>
      <c r="I342" t="s">
        <v>513</v>
      </c>
      <c r="J342" t="s">
        <v>513</v>
      </c>
    </row>
    <row r="343" spans="1:10" hidden="1" x14ac:dyDescent="0.25">
      <c r="A343" t="s">
        <v>285</v>
      </c>
      <c r="B343" t="s">
        <v>6</v>
      </c>
      <c r="C343" t="s">
        <v>7</v>
      </c>
      <c r="D343" t="s">
        <v>10</v>
      </c>
      <c r="E343" s="2">
        <v>43336.048888888887</v>
      </c>
      <c r="F343" t="s">
        <v>303</v>
      </c>
      <c r="G343" t="s">
        <v>426</v>
      </c>
      <c r="H343" t="s">
        <v>429</v>
      </c>
      <c r="I343" t="s">
        <v>494</v>
      </c>
      <c r="J343" t="s">
        <v>501</v>
      </c>
    </row>
    <row r="344" spans="1:10" hidden="1" x14ac:dyDescent="0.25">
      <c r="A344" t="s">
        <v>171</v>
      </c>
      <c r="B344" t="s">
        <v>6</v>
      </c>
      <c r="C344" t="s">
        <v>7</v>
      </c>
      <c r="D344" t="s">
        <v>10</v>
      </c>
      <c r="E344" s="2">
        <v>43336.04892361111</v>
      </c>
      <c r="F344" t="s">
        <v>585</v>
      </c>
      <c r="G344" t="s">
        <v>318</v>
      </c>
      <c r="H344" t="s">
        <v>323</v>
      </c>
      <c r="I344" t="s">
        <v>494</v>
      </c>
      <c r="J344" t="s">
        <v>501</v>
      </c>
    </row>
    <row r="345" spans="1:10" hidden="1" x14ac:dyDescent="0.25">
      <c r="A345" t="s">
        <v>479</v>
      </c>
      <c r="B345" t="s">
        <v>6</v>
      </c>
      <c r="C345" t="s">
        <v>7</v>
      </c>
      <c r="D345" t="s">
        <v>10</v>
      </c>
      <c r="E345" s="2">
        <v>43336.049386574072</v>
      </c>
      <c r="F345" t="s">
        <v>298</v>
      </c>
      <c r="G345" t="s">
        <v>318</v>
      </c>
      <c r="H345" t="s">
        <v>460</v>
      </c>
      <c r="I345" t="s">
        <v>581</v>
      </c>
      <c r="J345" t="s">
        <v>581</v>
      </c>
    </row>
    <row r="346" spans="1:10" hidden="1" x14ac:dyDescent="0.25">
      <c r="A346" t="s">
        <v>247</v>
      </c>
      <c r="B346" t="s">
        <v>6</v>
      </c>
      <c r="C346" t="s">
        <v>7</v>
      </c>
      <c r="D346" t="s">
        <v>10</v>
      </c>
      <c r="E346" s="2">
        <v>43336.049398148149</v>
      </c>
      <c r="F346" t="s">
        <v>300</v>
      </c>
      <c r="G346" t="s">
        <v>461</v>
      </c>
      <c r="H346" t="s">
        <v>435</v>
      </c>
      <c r="I346" t="s">
        <v>494</v>
      </c>
      <c r="J346" t="s">
        <v>582</v>
      </c>
    </row>
    <row r="347" spans="1:10" hidden="1" x14ac:dyDescent="0.25">
      <c r="A347" t="s">
        <v>150</v>
      </c>
      <c r="B347" t="s">
        <v>6</v>
      </c>
      <c r="C347" t="s">
        <v>7</v>
      </c>
      <c r="D347" t="s">
        <v>476</v>
      </c>
      <c r="E347" s="2">
        <v>43336.049409722225</v>
      </c>
      <c r="F347" t="s">
        <v>299</v>
      </c>
      <c r="G347" t="s">
        <v>318</v>
      </c>
      <c r="H347" t="s">
        <v>459</v>
      </c>
      <c r="I347" t="s">
        <v>545</v>
      </c>
      <c r="J347" t="s">
        <v>497</v>
      </c>
    </row>
    <row r="348" spans="1:10" hidden="1" x14ac:dyDescent="0.25">
      <c r="A348" t="s">
        <v>41</v>
      </c>
      <c r="B348" t="s">
        <v>6</v>
      </c>
      <c r="C348" t="s">
        <v>7</v>
      </c>
      <c r="D348" t="s">
        <v>10</v>
      </c>
      <c r="E348" s="2">
        <v>43336.049409722225</v>
      </c>
      <c r="F348" t="s">
        <v>590</v>
      </c>
      <c r="G348" t="s">
        <v>428</v>
      </c>
      <c r="H348" t="s">
        <v>440</v>
      </c>
      <c r="I348" t="s">
        <v>513</v>
      </c>
      <c r="J348" t="s">
        <v>513</v>
      </c>
    </row>
    <row r="349" spans="1:10" hidden="1" x14ac:dyDescent="0.25">
      <c r="A349" t="s">
        <v>214</v>
      </c>
      <c r="B349" t="s">
        <v>6</v>
      </c>
      <c r="C349" t="s">
        <v>7</v>
      </c>
      <c r="D349" t="s">
        <v>10</v>
      </c>
      <c r="E349" s="2">
        <v>43336.049502314818</v>
      </c>
      <c r="F349" t="s">
        <v>303</v>
      </c>
      <c r="G349" t="s">
        <v>426</v>
      </c>
      <c r="H349" t="s">
        <v>430</v>
      </c>
      <c r="I349" t="s">
        <v>494</v>
      </c>
      <c r="J349" t="s">
        <v>501</v>
      </c>
    </row>
    <row r="350" spans="1:10" hidden="1" x14ac:dyDescent="0.25">
      <c r="A350" t="s">
        <v>207</v>
      </c>
      <c r="B350" t="s">
        <v>6</v>
      </c>
      <c r="C350" t="s">
        <v>7</v>
      </c>
      <c r="D350" t="s">
        <v>10</v>
      </c>
      <c r="E350" s="2">
        <v>43336.04954861111</v>
      </c>
      <c r="F350" t="s">
        <v>585</v>
      </c>
      <c r="G350" t="s">
        <v>318</v>
      </c>
      <c r="H350" t="s">
        <v>385</v>
      </c>
      <c r="I350" t="s">
        <v>494</v>
      </c>
      <c r="J350" t="s">
        <v>501</v>
      </c>
    </row>
    <row r="351" spans="1:10" hidden="1" x14ac:dyDescent="0.25">
      <c r="A351" t="s">
        <v>208</v>
      </c>
      <c r="B351" t="s">
        <v>6</v>
      </c>
      <c r="C351" t="s">
        <v>7</v>
      </c>
      <c r="D351" t="s">
        <v>13</v>
      </c>
      <c r="E351" s="2">
        <v>43336.049675925926</v>
      </c>
      <c r="F351" t="s">
        <v>591</v>
      </c>
      <c r="G351" t="s">
        <v>318</v>
      </c>
      <c r="H351" t="s">
        <v>318</v>
      </c>
      <c r="I351" t="s">
        <v>497</v>
      </c>
      <c r="J351" t="s">
        <v>497</v>
      </c>
    </row>
    <row r="352" spans="1:10" hidden="1" x14ac:dyDescent="0.25">
      <c r="A352" t="s">
        <v>381</v>
      </c>
      <c r="B352" t="s">
        <v>6</v>
      </c>
      <c r="C352" t="s">
        <v>7</v>
      </c>
      <c r="D352" t="s">
        <v>10</v>
      </c>
      <c r="E352" s="2">
        <v>43336.050011574072</v>
      </c>
      <c r="F352" t="s">
        <v>298</v>
      </c>
      <c r="G352" t="s">
        <v>318</v>
      </c>
      <c r="H352" t="s">
        <v>461</v>
      </c>
      <c r="I352" t="s">
        <v>581</v>
      </c>
      <c r="J352" t="s">
        <v>581</v>
      </c>
    </row>
    <row r="353" spans="1:10" hidden="1" x14ac:dyDescent="0.25">
      <c r="A353" t="s">
        <v>248</v>
      </c>
      <c r="B353" t="s">
        <v>6</v>
      </c>
      <c r="C353" t="s">
        <v>7</v>
      </c>
      <c r="D353" t="s">
        <v>10</v>
      </c>
      <c r="E353" s="2">
        <v>43336.050023148149</v>
      </c>
      <c r="F353" t="s">
        <v>300</v>
      </c>
      <c r="G353" t="s">
        <v>461</v>
      </c>
      <c r="H353" t="s">
        <v>436</v>
      </c>
      <c r="I353" t="s">
        <v>494</v>
      </c>
      <c r="J353" t="s">
        <v>582</v>
      </c>
    </row>
    <row r="354" spans="1:10" hidden="1" x14ac:dyDescent="0.25">
      <c r="A354" t="s">
        <v>76</v>
      </c>
      <c r="B354" t="s">
        <v>6</v>
      </c>
      <c r="C354" t="s">
        <v>7</v>
      </c>
      <c r="D354" t="s">
        <v>476</v>
      </c>
      <c r="E354" s="2">
        <v>43336.050023148149</v>
      </c>
      <c r="F354" t="s">
        <v>590</v>
      </c>
      <c r="G354" t="s">
        <v>428</v>
      </c>
      <c r="H354" t="s">
        <v>441</v>
      </c>
      <c r="I354" t="s">
        <v>507</v>
      </c>
      <c r="J354" t="s">
        <v>507</v>
      </c>
    </row>
    <row r="355" spans="1:10" hidden="1" x14ac:dyDescent="0.25">
      <c r="A355" t="s">
        <v>119</v>
      </c>
      <c r="B355" t="s">
        <v>6</v>
      </c>
      <c r="C355" t="s">
        <v>7</v>
      </c>
      <c r="D355" t="s">
        <v>10</v>
      </c>
      <c r="E355" s="2">
        <v>43336.050046296295</v>
      </c>
      <c r="F355" t="s">
        <v>299</v>
      </c>
      <c r="G355" t="s">
        <v>318</v>
      </c>
      <c r="H355" t="s">
        <v>460</v>
      </c>
      <c r="I355" t="s">
        <v>545</v>
      </c>
      <c r="J355" t="s">
        <v>497</v>
      </c>
    </row>
    <row r="356" spans="1:10" hidden="1" x14ac:dyDescent="0.25">
      <c r="A356" t="s">
        <v>213</v>
      </c>
      <c r="B356" t="s">
        <v>6</v>
      </c>
      <c r="C356" t="s">
        <v>7</v>
      </c>
      <c r="D356" t="s">
        <v>10</v>
      </c>
      <c r="E356" s="2">
        <v>43336.050162037034</v>
      </c>
      <c r="F356" t="s">
        <v>303</v>
      </c>
      <c r="G356" t="s">
        <v>426</v>
      </c>
      <c r="H356" t="s">
        <v>431</v>
      </c>
      <c r="I356" t="s">
        <v>494</v>
      </c>
      <c r="J356" t="s">
        <v>501</v>
      </c>
    </row>
    <row r="357" spans="1:10" hidden="1" x14ac:dyDescent="0.25">
      <c r="A357" t="s">
        <v>137</v>
      </c>
      <c r="B357" t="s">
        <v>6</v>
      </c>
      <c r="C357" t="s">
        <v>7</v>
      </c>
      <c r="D357" t="s">
        <v>10</v>
      </c>
      <c r="E357" s="2">
        <v>43336.050173611111</v>
      </c>
      <c r="F357" t="s">
        <v>585</v>
      </c>
      <c r="G357" t="s">
        <v>318</v>
      </c>
      <c r="H357" t="s">
        <v>457</v>
      </c>
      <c r="I357" t="s">
        <v>494</v>
      </c>
      <c r="J357" t="s">
        <v>501</v>
      </c>
    </row>
    <row r="358" spans="1:10" hidden="1" x14ac:dyDescent="0.25">
      <c r="A358" t="s">
        <v>389</v>
      </c>
      <c r="B358" t="s">
        <v>6</v>
      </c>
      <c r="C358" t="s">
        <v>7</v>
      </c>
      <c r="D358" t="s">
        <v>10</v>
      </c>
      <c r="E358" s="2">
        <v>43336.05027777778</v>
      </c>
      <c r="F358" t="s">
        <v>586</v>
      </c>
      <c r="G358" t="s">
        <v>318</v>
      </c>
      <c r="H358" t="s">
        <v>318</v>
      </c>
      <c r="I358" t="s">
        <v>490</v>
      </c>
      <c r="J358" t="s">
        <v>497</v>
      </c>
    </row>
    <row r="359" spans="1:10" hidden="1" x14ac:dyDescent="0.25">
      <c r="A359" t="s">
        <v>97</v>
      </c>
      <c r="B359" t="s">
        <v>6</v>
      </c>
      <c r="C359" t="s">
        <v>7</v>
      </c>
      <c r="D359" t="s">
        <v>476</v>
      </c>
      <c r="E359" s="2">
        <v>43336.05028935185</v>
      </c>
      <c r="F359" t="s">
        <v>591</v>
      </c>
      <c r="G359" t="s">
        <v>318</v>
      </c>
      <c r="H359" t="s">
        <v>323</v>
      </c>
      <c r="I359" t="s">
        <v>497</v>
      </c>
      <c r="J359" t="s">
        <v>497</v>
      </c>
    </row>
    <row r="360" spans="1:10" hidden="1" x14ac:dyDescent="0.25">
      <c r="A360" t="s">
        <v>415</v>
      </c>
      <c r="B360" t="s">
        <v>306</v>
      </c>
      <c r="C360" t="s">
        <v>306</v>
      </c>
      <c r="D360" t="s">
        <v>307</v>
      </c>
      <c r="E360" s="2">
        <v>43336.050543981481</v>
      </c>
      <c r="F360" t="s">
        <v>298</v>
      </c>
      <c r="G360" t="s">
        <v>318</v>
      </c>
      <c r="H360" t="s">
        <v>462</v>
      </c>
      <c r="I360" t="s">
        <v>581</v>
      </c>
      <c r="J360" t="s">
        <v>581</v>
      </c>
    </row>
    <row r="361" spans="1:10" hidden="1" x14ac:dyDescent="0.25">
      <c r="A361" t="s">
        <v>75</v>
      </c>
      <c r="B361" t="s">
        <v>306</v>
      </c>
      <c r="C361" t="s">
        <v>306</v>
      </c>
      <c r="D361" t="s">
        <v>307</v>
      </c>
      <c r="E361" s="2">
        <v>43336.050555555557</v>
      </c>
      <c r="F361" t="s">
        <v>590</v>
      </c>
      <c r="G361" t="s">
        <v>428</v>
      </c>
      <c r="H361" t="s">
        <v>442</v>
      </c>
      <c r="I361" t="s">
        <v>504</v>
      </c>
      <c r="J361" t="s">
        <v>504</v>
      </c>
    </row>
    <row r="362" spans="1:10" hidden="1" x14ac:dyDescent="0.25">
      <c r="A362" t="s">
        <v>249</v>
      </c>
      <c r="B362" t="s">
        <v>306</v>
      </c>
      <c r="C362" t="s">
        <v>306</v>
      </c>
      <c r="D362" t="s">
        <v>307</v>
      </c>
      <c r="E362" s="2">
        <v>43336.050567129627</v>
      </c>
      <c r="F362" t="s">
        <v>300</v>
      </c>
      <c r="G362" t="s">
        <v>461</v>
      </c>
      <c r="H362" t="s">
        <v>437</v>
      </c>
      <c r="I362" t="s">
        <v>494</v>
      </c>
      <c r="J362" t="s">
        <v>583</v>
      </c>
    </row>
    <row r="363" spans="1:10" hidden="1" x14ac:dyDescent="0.25">
      <c r="A363" t="s">
        <v>105</v>
      </c>
      <c r="B363" t="s">
        <v>306</v>
      </c>
      <c r="C363" t="s">
        <v>306</v>
      </c>
      <c r="D363" t="s">
        <v>307</v>
      </c>
      <c r="E363" s="2">
        <v>43336.05060185185</v>
      </c>
      <c r="F363" t="s">
        <v>299</v>
      </c>
      <c r="G363" t="s">
        <v>318</v>
      </c>
      <c r="H363" t="s">
        <v>461</v>
      </c>
      <c r="I363" t="s">
        <v>545</v>
      </c>
      <c r="J363" t="s">
        <v>497</v>
      </c>
    </row>
    <row r="364" spans="1:10" hidden="1" x14ac:dyDescent="0.25">
      <c r="A364" t="s">
        <v>143</v>
      </c>
      <c r="B364" t="s">
        <v>306</v>
      </c>
      <c r="C364" t="s">
        <v>306</v>
      </c>
      <c r="D364" t="s">
        <v>307</v>
      </c>
      <c r="E364" s="2">
        <v>43336.050694444442</v>
      </c>
      <c r="F364" t="s">
        <v>585</v>
      </c>
      <c r="G364" t="s">
        <v>318</v>
      </c>
      <c r="H364" t="s">
        <v>458</v>
      </c>
      <c r="I364" t="s">
        <v>494</v>
      </c>
      <c r="J364" t="s">
        <v>501</v>
      </c>
    </row>
    <row r="365" spans="1:10" hidden="1" x14ac:dyDescent="0.25">
      <c r="A365" t="s">
        <v>212</v>
      </c>
      <c r="B365" t="s">
        <v>306</v>
      </c>
      <c r="C365" t="s">
        <v>306</v>
      </c>
      <c r="D365" t="s">
        <v>307</v>
      </c>
      <c r="E365" s="2">
        <v>43336.050694444442</v>
      </c>
      <c r="F365" t="s">
        <v>303</v>
      </c>
      <c r="G365" t="s">
        <v>426</v>
      </c>
      <c r="H365" t="s">
        <v>432</v>
      </c>
      <c r="I365" t="s">
        <v>494</v>
      </c>
      <c r="J365" t="s">
        <v>501</v>
      </c>
    </row>
    <row r="366" spans="1:10" hidden="1" x14ac:dyDescent="0.25">
      <c r="A366" t="s">
        <v>348</v>
      </c>
      <c r="B366" t="s">
        <v>306</v>
      </c>
      <c r="C366" t="s">
        <v>306</v>
      </c>
      <c r="D366" t="s">
        <v>307</v>
      </c>
      <c r="E366" s="2">
        <v>43336.050856481481</v>
      </c>
      <c r="F366" t="s">
        <v>587</v>
      </c>
      <c r="G366" t="s">
        <v>457</v>
      </c>
      <c r="H366" t="s">
        <v>436</v>
      </c>
      <c r="I366" t="s">
        <v>573</v>
      </c>
      <c r="J366" t="s">
        <v>491</v>
      </c>
    </row>
    <row r="367" spans="1:10" hidden="1" x14ac:dyDescent="0.25">
      <c r="A367" t="s">
        <v>169</v>
      </c>
      <c r="B367" t="s">
        <v>6</v>
      </c>
      <c r="C367" t="s">
        <v>7</v>
      </c>
      <c r="D367" t="s">
        <v>10</v>
      </c>
      <c r="E367" s="2">
        <v>43336.051145833335</v>
      </c>
      <c r="F367" t="s">
        <v>590</v>
      </c>
      <c r="G367" t="s">
        <v>428</v>
      </c>
      <c r="H367" t="s">
        <v>443</v>
      </c>
      <c r="I367" t="s">
        <v>498</v>
      </c>
      <c r="J367" t="s">
        <v>498</v>
      </c>
    </row>
    <row r="368" spans="1:10" hidden="1" x14ac:dyDescent="0.25">
      <c r="A368" t="s">
        <v>205</v>
      </c>
      <c r="B368" t="s">
        <v>6</v>
      </c>
      <c r="C368" t="s">
        <v>7</v>
      </c>
      <c r="D368" t="s">
        <v>13</v>
      </c>
      <c r="E368" s="2">
        <v>43336.051249999997</v>
      </c>
      <c r="F368" t="s">
        <v>591</v>
      </c>
      <c r="G368" t="s">
        <v>318</v>
      </c>
      <c r="H368" t="s">
        <v>385</v>
      </c>
      <c r="I368" t="s">
        <v>497</v>
      </c>
      <c r="J368" t="s">
        <v>497</v>
      </c>
    </row>
    <row r="369" spans="1:10" hidden="1" x14ac:dyDescent="0.25">
      <c r="A369" t="s">
        <v>117</v>
      </c>
      <c r="B369" t="s">
        <v>6</v>
      </c>
      <c r="C369" t="s">
        <v>7</v>
      </c>
      <c r="D369" t="s">
        <v>10</v>
      </c>
      <c r="E369" s="2">
        <v>43336.05128472222</v>
      </c>
      <c r="F369" t="s">
        <v>299</v>
      </c>
      <c r="G369" t="s">
        <v>318</v>
      </c>
      <c r="H369" t="s">
        <v>462</v>
      </c>
      <c r="I369" t="s">
        <v>492</v>
      </c>
      <c r="J369" t="s">
        <v>547</v>
      </c>
    </row>
    <row r="370" spans="1:10" hidden="1" x14ac:dyDescent="0.25">
      <c r="A370" t="s">
        <v>206</v>
      </c>
      <c r="B370" t="s">
        <v>6</v>
      </c>
      <c r="C370" t="s">
        <v>7</v>
      </c>
      <c r="D370" t="s">
        <v>10</v>
      </c>
      <c r="E370" s="2">
        <v>43336.051296296297</v>
      </c>
      <c r="F370" t="s">
        <v>585</v>
      </c>
      <c r="G370" t="s">
        <v>318</v>
      </c>
      <c r="H370" t="s">
        <v>459</v>
      </c>
      <c r="I370" t="s">
        <v>494</v>
      </c>
      <c r="J370" t="s">
        <v>501</v>
      </c>
    </row>
    <row r="371" spans="1:10" hidden="1" x14ac:dyDescent="0.25">
      <c r="A371" t="s">
        <v>250</v>
      </c>
      <c r="B371" t="s">
        <v>6</v>
      </c>
      <c r="C371" t="s">
        <v>7</v>
      </c>
      <c r="D371" t="s">
        <v>10</v>
      </c>
      <c r="E371" s="2">
        <v>43336.051296296297</v>
      </c>
      <c r="F371" t="s">
        <v>300</v>
      </c>
      <c r="G371" t="s">
        <v>461</v>
      </c>
      <c r="H371" t="s">
        <v>438</v>
      </c>
      <c r="I371" t="s">
        <v>494</v>
      </c>
      <c r="J371" t="s">
        <v>583</v>
      </c>
    </row>
    <row r="372" spans="1:10" hidden="1" x14ac:dyDescent="0.25">
      <c r="A372" t="s">
        <v>286</v>
      </c>
      <c r="B372" t="s">
        <v>6</v>
      </c>
      <c r="C372" t="s">
        <v>7</v>
      </c>
      <c r="D372" t="s">
        <v>27</v>
      </c>
      <c r="E372" s="2">
        <v>43336.051458333335</v>
      </c>
      <c r="F372" t="s">
        <v>303</v>
      </c>
      <c r="G372" t="s">
        <v>426</v>
      </c>
      <c r="H372" t="s">
        <v>433</v>
      </c>
      <c r="I372" t="s">
        <v>494</v>
      </c>
      <c r="J372" t="s">
        <v>501</v>
      </c>
    </row>
    <row r="373" spans="1:10" hidden="1" x14ac:dyDescent="0.25">
      <c r="A373" t="s">
        <v>331</v>
      </c>
      <c r="B373" t="s">
        <v>6</v>
      </c>
      <c r="C373" t="s">
        <v>7</v>
      </c>
      <c r="D373" t="s">
        <v>10</v>
      </c>
      <c r="E373" s="2">
        <v>43336.051469907405</v>
      </c>
      <c r="F373" t="s">
        <v>587</v>
      </c>
      <c r="G373" t="s">
        <v>457</v>
      </c>
      <c r="H373" t="s">
        <v>437</v>
      </c>
      <c r="I373" t="s">
        <v>574</v>
      </c>
      <c r="J373" t="s">
        <v>491</v>
      </c>
    </row>
    <row r="374" spans="1:10" hidden="1" x14ac:dyDescent="0.25">
      <c r="A374" t="s">
        <v>199</v>
      </c>
      <c r="B374" t="s">
        <v>6</v>
      </c>
      <c r="C374" t="s">
        <v>7</v>
      </c>
      <c r="D374" t="s">
        <v>10</v>
      </c>
      <c r="E374" s="2">
        <v>43336.051747685182</v>
      </c>
      <c r="F374" t="s">
        <v>590</v>
      </c>
      <c r="G374" t="s">
        <v>428</v>
      </c>
      <c r="H374" t="s">
        <v>444</v>
      </c>
      <c r="I374" t="s">
        <v>498</v>
      </c>
      <c r="J374" t="s">
        <v>498</v>
      </c>
    </row>
    <row r="375" spans="1:10" hidden="1" x14ac:dyDescent="0.25">
      <c r="A375" t="s">
        <v>48</v>
      </c>
      <c r="B375" t="s">
        <v>6</v>
      </c>
      <c r="C375" t="s">
        <v>7</v>
      </c>
      <c r="D375" t="s">
        <v>10</v>
      </c>
      <c r="E375" s="2">
        <v>43336.05190972222</v>
      </c>
      <c r="F375" t="s">
        <v>585</v>
      </c>
      <c r="G375" t="s">
        <v>318</v>
      </c>
      <c r="H375" t="s">
        <v>460</v>
      </c>
      <c r="I375" t="s">
        <v>494</v>
      </c>
      <c r="J375" t="s">
        <v>501</v>
      </c>
    </row>
    <row r="376" spans="1:10" hidden="1" x14ac:dyDescent="0.25">
      <c r="A376" t="s">
        <v>15</v>
      </c>
      <c r="B376" t="s">
        <v>6</v>
      </c>
      <c r="C376" t="s">
        <v>7</v>
      </c>
      <c r="D376" t="s">
        <v>484</v>
      </c>
      <c r="E376" s="2">
        <v>43336.05190972222</v>
      </c>
      <c r="F376" t="s">
        <v>298</v>
      </c>
      <c r="G376" t="s">
        <v>318</v>
      </c>
      <c r="H376" t="s">
        <v>453</v>
      </c>
      <c r="I376" t="s">
        <v>541</v>
      </c>
      <c r="J376" t="s">
        <v>542</v>
      </c>
    </row>
    <row r="377" spans="1:10" hidden="1" x14ac:dyDescent="0.25">
      <c r="A377" t="s">
        <v>151</v>
      </c>
      <c r="B377" t="s">
        <v>6</v>
      </c>
      <c r="C377" t="s">
        <v>7</v>
      </c>
      <c r="D377" t="s">
        <v>10</v>
      </c>
      <c r="E377" s="2">
        <v>43336.05190972222</v>
      </c>
      <c r="F377" t="s">
        <v>299</v>
      </c>
      <c r="G377" t="s">
        <v>318</v>
      </c>
      <c r="H377" t="s">
        <v>453</v>
      </c>
      <c r="I377" t="s">
        <v>492</v>
      </c>
      <c r="J377" t="s">
        <v>546</v>
      </c>
    </row>
    <row r="378" spans="1:10" hidden="1" x14ac:dyDescent="0.25">
      <c r="A378" t="s">
        <v>251</v>
      </c>
      <c r="B378" t="s">
        <v>6</v>
      </c>
      <c r="C378" t="s">
        <v>7</v>
      </c>
      <c r="D378" t="s">
        <v>10</v>
      </c>
      <c r="E378" s="2">
        <v>43336.051921296297</v>
      </c>
      <c r="F378" t="s">
        <v>300</v>
      </c>
      <c r="G378" t="s">
        <v>461</v>
      </c>
      <c r="H378" t="s">
        <v>439</v>
      </c>
      <c r="I378" t="s">
        <v>494</v>
      </c>
      <c r="J378" t="s">
        <v>583</v>
      </c>
    </row>
    <row r="379" spans="1:10" hidden="1" x14ac:dyDescent="0.25">
      <c r="A379" t="s">
        <v>88</v>
      </c>
      <c r="B379" t="s">
        <v>6</v>
      </c>
      <c r="C379" t="s">
        <v>7</v>
      </c>
      <c r="D379" t="s">
        <v>27</v>
      </c>
      <c r="E379" s="2">
        <v>43336.052025462966</v>
      </c>
      <c r="F379" t="s">
        <v>591</v>
      </c>
      <c r="G379" t="s">
        <v>318</v>
      </c>
      <c r="H379" t="s">
        <v>457</v>
      </c>
      <c r="I379" t="s">
        <v>497</v>
      </c>
      <c r="J379" t="s">
        <v>497</v>
      </c>
    </row>
    <row r="380" spans="1:10" hidden="1" x14ac:dyDescent="0.25">
      <c r="A380" t="s">
        <v>349</v>
      </c>
      <c r="B380" t="s">
        <v>6</v>
      </c>
      <c r="C380" t="s">
        <v>7</v>
      </c>
      <c r="D380" t="s">
        <v>10</v>
      </c>
      <c r="E380" s="2">
        <v>43336.052083333336</v>
      </c>
      <c r="F380" t="s">
        <v>587</v>
      </c>
      <c r="G380" t="s">
        <v>457</v>
      </c>
      <c r="H380" t="s">
        <v>438</v>
      </c>
      <c r="I380" t="s">
        <v>575</v>
      </c>
      <c r="J380" t="s">
        <v>491</v>
      </c>
    </row>
    <row r="381" spans="1:10" hidden="1" x14ac:dyDescent="0.25">
      <c r="A381" t="s">
        <v>189</v>
      </c>
      <c r="B381" t="s">
        <v>6</v>
      </c>
      <c r="C381" t="s">
        <v>7</v>
      </c>
      <c r="D381" t="s">
        <v>10</v>
      </c>
      <c r="E381" s="2">
        <v>43336.052094907405</v>
      </c>
      <c r="F381" t="s">
        <v>303</v>
      </c>
      <c r="G381" t="s">
        <v>426</v>
      </c>
      <c r="H381" t="s">
        <v>434</v>
      </c>
      <c r="I381" t="s">
        <v>494</v>
      </c>
      <c r="J381" t="s">
        <v>501</v>
      </c>
    </row>
    <row r="382" spans="1:10" hidden="1" x14ac:dyDescent="0.25">
      <c r="A382" t="s">
        <v>74</v>
      </c>
      <c r="B382" t="s">
        <v>6</v>
      </c>
      <c r="C382" t="s">
        <v>7</v>
      </c>
      <c r="D382" t="s">
        <v>10</v>
      </c>
      <c r="E382" s="2">
        <v>43336.052349537036</v>
      </c>
      <c r="F382" t="s">
        <v>590</v>
      </c>
      <c r="G382" t="s">
        <v>428</v>
      </c>
      <c r="H382" t="s">
        <v>445</v>
      </c>
      <c r="I382" t="s">
        <v>498</v>
      </c>
      <c r="J382" t="s">
        <v>498</v>
      </c>
    </row>
    <row r="383" spans="1:10" hidden="1" x14ac:dyDescent="0.25">
      <c r="A383" t="s">
        <v>191</v>
      </c>
      <c r="B383" t="s">
        <v>6</v>
      </c>
      <c r="C383" t="s">
        <v>7</v>
      </c>
      <c r="D383" t="s">
        <v>10</v>
      </c>
      <c r="E383" s="2">
        <v>43336.052523148152</v>
      </c>
      <c r="F383" t="s">
        <v>585</v>
      </c>
      <c r="G383" t="s">
        <v>318</v>
      </c>
      <c r="H383" t="s">
        <v>461</v>
      </c>
      <c r="I383" t="s">
        <v>494</v>
      </c>
      <c r="J383" t="s">
        <v>501</v>
      </c>
    </row>
    <row r="384" spans="1:10" hidden="1" x14ac:dyDescent="0.25">
      <c r="A384" t="s">
        <v>159</v>
      </c>
      <c r="B384" t="s">
        <v>6</v>
      </c>
      <c r="C384" t="s">
        <v>7</v>
      </c>
      <c r="D384" t="s">
        <v>10</v>
      </c>
      <c r="E384" s="2">
        <v>43336.052534722221</v>
      </c>
      <c r="F384" t="s">
        <v>298</v>
      </c>
      <c r="G384" t="s">
        <v>318</v>
      </c>
      <c r="H384" t="s">
        <v>454</v>
      </c>
      <c r="I384" t="s">
        <v>492</v>
      </c>
      <c r="J384" t="s">
        <v>493</v>
      </c>
    </row>
    <row r="385" spans="1:10" hidden="1" x14ac:dyDescent="0.25">
      <c r="A385" t="s">
        <v>108</v>
      </c>
      <c r="B385" t="s">
        <v>6</v>
      </c>
      <c r="C385" t="s">
        <v>7</v>
      </c>
      <c r="D385" t="s">
        <v>10</v>
      </c>
      <c r="E385" s="2">
        <v>43336.052557870367</v>
      </c>
      <c r="F385" t="s">
        <v>299</v>
      </c>
      <c r="G385" t="s">
        <v>318</v>
      </c>
      <c r="H385" t="s">
        <v>454</v>
      </c>
      <c r="I385" t="s">
        <v>492</v>
      </c>
      <c r="J385" t="s">
        <v>546</v>
      </c>
    </row>
    <row r="386" spans="1:10" hidden="1" x14ac:dyDescent="0.25">
      <c r="A386" t="s">
        <v>252</v>
      </c>
      <c r="B386" t="s">
        <v>6</v>
      </c>
      <c r="C386" t="s">
        <v>7</v>
      </c>
      <c r="D386" t="s">
        <v>10</v>
      </c>
      <c r="E386" s="2">
        <v>43336.052569444444</v>
      </c>
      <c r="F386" t="s">
        <v>300</v>
      </c>
      <c r="G386" t="s">
        <v>461</v>
      </c>
      <c r="H386" t="s">
        <v>440</v>
      </c>
      <c r="I386" t="s">
        <v>494</v>
      </c>
      <c r="J386" t="s">
        <v>583</v>
      </c>
    </row>
    <row r="387" spans="1:10" hidden="1" x14ac:dyDescent="0.25">
      <c r="A387" t="s">
        <v>332</v>
      </c>
      <c r="B387" t="s">
        <v>6</v>
      </c>
      <c r="C387" t="s">
        <v>7</v>
      </c>
      <c r="D387" t="s">
        <v>10</v>
      </c>
      <c r="E387" s="2">
        <v>43336.052708333336</v>
      </c>
      <c r="F387" t="s">
        <v>587</v>
      </c>
      <c r="G387" t="s">
        <v>457</v>
      </c>
      <c r="H387" t="s">
        <v>439</v>
      </c>
      <c r="I387" t="s">
        <v>577</v>
      </c>
      <c r="J387" t="s">
        <v>491</v>
      </c>
    </row>
    <row r="388" spans="1:10" hidden="1" x14ac:dyDescent="0.25">
      <c r="A388" t="s">
        <v>211</v>
      </c>
      <c r="B388" t="s">
        <v>6</v>
      </c>
      <c r="C388" t="s">
        <v>7</v>
      </c>
      <c r="D388" t="s">
        <v>10</v>
      </c>
      <c r="E388" s="2">
        <v>43336.052719907406</v>
      </c>
      <c r="F388" t="s">
        <v>303</v>
      </c>
      <c r="G388" t="s">
        <v>426</v>
      </c>
      <c r="H388" t="s">
        <v>435</v>
      </c>
      <c r="I388" t="s">
        <v>494</v>
      </c>
      <c r="J388" t="s">
        <v>501</v>
      </c>
    </row>
    <row r="389" spans="1:10" hidden="1" x14ac:dyDescent="0.25">
      <c r="A389" t="s">
        <v>96</v>
      </c>
      <c r="B389" t="s">
        <v>6</v>
      </c>
      <c r="C389" t="s">
        <v>7</v>
      </c>
      <c r="D389" t="s">
        <v>13</v>
      </c>
      <c r="E389" s="2">
        <v>43336.052777777775</v>
      </c>
      <c r="F389" t="s">
        <v>591</v>
      </c>
      <c r="G389" t="s">
        <v>318</v>
      </c>
      <c r="H389" t="s">
        <v>458</v>
      </c>
      <c r="I389" t="s">
        <v>497</v>
      </c>
      <c r="J389" t="s">
        <v>497</v>
      </c>
    </row>
    <row r="390" spans="1:10" hidden="1" x14ac:dyDescent="0.25">
      <c r="A390" t="s">
        <v>77</v>
      </c>
      <c r="B390" t="s">
        <v>6</v>
      </c>
      <c r="C390" t="s">
        <v>7</v>
      </c>
      <c r="D390" t="s">
        <v>13</v>
      </c>
      <c r="E390" s="2">
        <v>43336.053090277775</v>
      </c>
      <c r="F390" t="s">
        <v>590</v>
      </c>
      <c r="G390" t="s">
        <v>428</v>
      </c>
      <c r="H390" t="s">
        <v>446</v>
      </c>
      <c r="I390" t="s">
        <v>498</v>
      </c>
      <c r="J390" t="s">
        <v>498</v>
      </c>
    </row>
    <row r="391" spans="1:10" hidden="1" x14ac:dyDescent="0.25">
      <c r="A391" t="s">
        <v>47</v>
      </c>
      <c r="B391" t="s">
        <v>6</v>
      </c>
      <c r="C391" t="s">
        <v>7</v>
      </c>
      <c r="D391" t="s">
        <v>10</v>
      </c>
      <c r="E391" s="2">
        <v>43336.053159722222</v>
      </c>
      <c r="F391" t="s">
        <v>585</v>
      </c>
      <c r="G391" t="s">
        <v>318</v>
      </c>
      <c r="H391" t="s">
        <v>462</v>
      </c>
      <c r="I391" t="s">
        <v>494</v>
      </c>
      <c r="J391" t="s">
        <v>501</v>
      </c>
    </row>
    <row r="392" spans="1:10" hidden="1" x14ac:dyDescent="0.25">
      <c r="A392" t="s">
        <v>253</v>
      </c>
      <c r="B392" t="s">
        <v>6</v>
      </c>
      <c r="C392" t="s">
        <v>7</v>
      </c>
      <c r="D392" t="s">
        <v>10</v>
      </c>
      <c r="E392" s="2">
        <v>43336.053171296298</v>
      </c>
      <c r="F392" t="s">
        <v>300</v>
      </c>
      <c r="G392" t="s">
        <v>461</v>
      </c>
      <c r="H392" t="s">
        <v>441</v>
      </c>
      <c r="I392" t="s">
        <v>494</v>
      </c>
      <c r="J392" t="s">
        <v>583</v>
      </c>
    </row>
    <row r="393" spans="1:10" hidden="1" x14ac:dyDescent="0.25">
      <c r="A393" t="s">
        <v>101</v>
      </c>
      <c r="B393" t="s">
        <v>6</v>
      </c>
      <c r="C393" t="s">
        <v>7</v>
      </c>
      <c r="D393" t="s">
        <v>10</v>
      </c>
      <c r="E393" s="2">
        <v>43336.053194444445</v>
      </c>
      <c r="F393" t="s">
        <v>299</v>
      </c>
      <c r="G393" t="s">
        <v>318</v>
      </c>
      <c r="H393" t="s">
        <v>455</v>
      </c>
      <c r="I393" t="s">
        <v>492</v>
      </c>
      <c r="J393" t="s">
        <v>546</v>
      </c>
    </row>
    <row r="394" spans="1:10" hidden="1" x14ac:dyDescent="0.25">
      <c r="A394" t="s">
        <v>350</v>
      </c>
      <c r="B394" t="s">
        <v>6</v>
      </c>
      <c r="C394" t="s">
        <v>7</v>
      </c>
      <c r="D394" t="s">
        <v>10</v>
      </c>
      <c r="E394" s="2">
        <v>43336.053333333337</v>
      </c>
      <c r="F394" t="s">
        <v>587</v>
      </c>
      <c r="G394" t="s">
        <v>457</v>
      </c>
      <c r="H394" t="s">
        <v>440</v>
      </c>
      <c r="I394" t="s">
        <v>576</v>
      </c>
      <c r="J394" t="s">
        <v>491</v>
      </c>
    </row>
    <row r="395" spans="1:10" hidden="1" x14ac:dyDescent="0.25">
      <c r="A395" t="s">
        <v>141</v>
      </c>
      <c r="B395" t="s">
        <v>6</v>
      </c>
      <c r="C395" t="s">
        <v>7</v>
      </c>
      <c r="D395" t="s">
        <v>10</v>
      </c>
      <c r="E395" s="2">
        <v>43336.053379629629</v>
      </c>
      <c r="F395" t="s">
        <v>303</v>
      </c>
      <c r="G395" t="s">
        <v>426</v>
      </c>
      <c r="H395" t="s">
        <v>436</v>
      </c>
      <c r="I395" t="s">
        <v>494</v>
      </c>
      <c r="J395" t="s">
        <v>501</v>
      </c>
    </row>
    <row r="396" spans="1:10" hidden="1" x14ac:dyDescent="0.25">
      <c r="A396" t="s">
        <v>72</v>
      </c>
      <c r="B396" t="s">
        <v>6</v>
      </c>
      <c r="C396" t="s">
        <v>7</v>
      </c>
      <c r="D396" t="s">
        <v>13</v>
      </c>
      <c r="E396" s="2">
        <v>43336.053518518522</v>
      </c>
      <c r="F396" t="s">
        <v>591</v>
      </c>
      <c r="G396" t="s">
        <v>318</v>
      </c>
      <c r="H396" t="s">
        <v>459</v>
      </c>
      <c r="I396" t="s">
        <v>497</v>
      </c>
      <c r="J396" t="s">
        <v>497</v>
      </c>
    </row>
    <row r="397" spans="1:10" hidden="1" x14ac:dyDescent="0.25">
      <c r="A397" t="s">
        <v>45</v>
      </c>
      <c r="B397" t="s">
        <v>6</v>
      </c>
      <c r="C397" t="s">
        <v>7</v>
      </c>
      <c r="D397" t="s">
        <v>10</v>
      </c>
      <c r="E397" s="2">
        <v>43336.053784722222</v>
      </c>
      <c r="F397" t="s">
        <v>585</v>
      </c>
      <c r="G397" t="s">
        <v>318</v>
      </c>
      <c r="H397" t="s">
        <v>453</v>
      </c>
      <c r="I397" t="s">
        <v>494</v>
      </c>
      <c r="J397" t="s">
        <v>501</v>
      </c>
    </row>
    <row r="398" spans="1:10" hidden="1" x14ac:dyDescent="0.25">
      <c r="A398" t="s">
        <v>254</v>
      </c>
      <c r="B398" t="s">
        <v>6</v>
      </c>
      <c r="C398" t="s">
        <v>7</v>
      </c>
      <c r="D398" t="s">
        <v>10</v>
      </c>
      <c r="E398" s="2">
        <v>43336.053784722222</v>
      </c>
      <c r="F398" t="s">
        <v>300</v>
      </c>
      <c r="G398" t="s">
        <v>461</v>
      </c>
      <c r="H398" t="s">
        <v>442</v>
      </c>
      <c r="I398" t="s">
        <v>494</v>
      </c>
      <c r="J398" t="s">
        <v>583</v>
      </c>
    </row>
    <row r="399" spans="1:10" hidden="1" x14ac:dyDescent="0.25">
      <c r="A399" t="s">
        <v>204</v>
      </c>
      <c r="B399" t="s">
        <v>6</v>
      </c>
      <c r="C399" t="s">
        <v>7</v>
      </c>
      <c r="D399" t="s">
        <v>10</v>
      </c>
      <c r="E399" s="2">
        <v>43336.053819444445</v>
      </c>
      <c r="F399" t="s">
        <v>299</v>
      </c>
      <c r="G399" t="s">
        <v>318</v>
      </c>
      <c r="H399" t="s">
        <v>456</v>
      </c>
      <c r="I399" t="s">
        <v>492</v>
      </c>
      <c r="J399" t="s">
        <v>546</v>
      </c>
    </row>
    <row r="400" spans="1:10" hidden="1" x14ac:dyDescent="0.25">
      <c r="A400" t="s">
        <v>26</v>
      </c>
      <c r="B400" t="s">
        <v>6</v>
      </c>
      <c r="C400" t="s">
        <v>7</v>
      </c>
      <c r="D400" t="s">
        <v>13</v>
      </c>
      <c r="E400" s="2">
        <v>43336.053831018522</v>
      </c>
      <c r="F400" t="s">
        <v>590</v>
      </c>
      <c r="G400" t="s">
        <v>428</v>
      </c>
      <c r="H400" t="s">
        <v>447</v>
      </c>
      <c r="I400" t="s">
        <v>498</v>
      </c>
      <c r="J400" t="s">
        <v>498</v>
      </c>
    </row>
    <row r="401" spans="1:10" hidden="1" x14ac:dyDescent="0.25">
      <c r="A401" t="s">
        <v>166</v>
      </c>
      <c r="B401" t="s">
        <v>6</v>
      </c>
      <c r="C401" t="s">
        <v>7</v>
      </c>
      <c r="D401" t="s">
        <v>8</v>
      </c>
      <c r="E401" s="2">
        <v>43336.053912037038</v>
      </c>
      <c r="F401" t="s">
        <v>298</v>
      </c>
      <c r="G401" t="s">
        <v>318</v>
      </c>
      <c r="H401" t="s">
        <v>455</v>
      </c>
      <c r="I401" t="s">
        <v>492</v>
      </c>
      <c r="J401" t="s">
        <v>493</v>
      </c>
    </row>
    <row r="402" spans="1:10" hidden="1" x14ac:dyDescent="0.25">
      <c r="A402" t="s">
        <v>127</v>
      </c>
      <c r="B402" t="s">
        <v>6</v>
      </c>
      <c r="C402" t="s">
        <v>7</v>
      </c>
      <c r="D402" t="s">
        <v>10</v>
      </c>
      <c r="E402" s="2">
        <v>43336.05400462963</v>
      </c>
      <c r="F402" t="s">
        <v>303</v>
      </c>
      <c r="G402" t="s">
        <v>426</v>
      </c>
      <c r="H402" t="s">
        <v>437</v>
      </c>
      <c r="I402" t="s">
        <v>494</v>
      </c>
      <c r="J402" t="s">
        <v>501</v>
      </c>
    </row>
    <row r="403" spans="1:10" hidden="1" x14ac:dyDescent="0.25">
      <c r="A403" t="s">
        <v>334</v>
      </c>
      <c r="B403" t="s">
        <v>6</v>
      </c>
      <c r="C403" t="s">
        <v>7</v>
      </c>
      <c r="D403" t="s">
        <v>27</v>
      </c>
      <c r="E403" s="2">
        <v>43336.054120370369</v>
      </c>
      <c r="F403" t="s">
        <v>587</v>
      </c>
      <c r="G403" t="s">
        <v>457</v>
      </c>
      <c r="H403" t="s">
        <v>441</v>
      </c>
      <c r="I403" t="s">
        <v>578</v>
      </c>
      <c r="J403" t="s">
        <v>491</v>
      </c>
    </row>
    <row r="404" spans="1:10" hidden="1" x14ac:dyDescent="0.25">
      <c r="A404" t="s">
        <v>122</v>
      </c>
      <c r="B404" t="s">
        <v>6</v>
      </c>
      <c r="C404" t="s">
        <v>7</v>
      </c>
      <c r="D404" t="s">
        <v>13</v>
      </c>
      <c r="E404" s="2">
        <v>43336.054270833331</v>
      </c>
      <c r="F404" t="s">
        <v>591</v>
      </c>
      <c r="G404" t="s">
        <v>318</v>
      </c>
      <c r="H404" t="s">
        <v>460</v>
      </c>
      <c r="I404" t="s">
        <v>497</v>
      </c>
      <c r="J404" t="s">
        <v>497</v>
      </c>
    </row>
    <row r="405" spans="1:10" hidden="1" x14ac:dyDescent="0.25">
      <c r="A405" t="s">
        <v>146</v>
      </c>
      <c r="B405" t="s">
        <v>6</v>
      </c>
      <c r="C405" t="s">
        <v>7</v>
      </c>
      <c r="D405" t="s">
        <v>10</v>
      </c>
      <c r="E405" s="2">
        <v>43336.054398148146</v>
      </c>
      <c r="F405" t="s">
        <v>585</v>
      </c>
      <c r="G405" t="s">
        <v>318</v>
      </c>
      <c r="H405" t="s">
        <v>454</v>
      </c>
      <c r="I405" t="s">
        <v>494</v>
      </c>
      <c r="J405" t="s">
        <v>501</v>
      </c>
    </row>
    <row r="406" spans="1:10" hidden="1" x14ac:dyDescent="0.25">
      <c r="A406" t="s">
        <v>255</v>
      </c>
      <c r="B406" t="s">
        <v>6</v>
      </c>
      <c r="C406" t="s">
        <v>7</v>
      </c>
      <c r="D406" t="s">
        <v>10</v>
      </c>
      <c r="E406" s="2">
        <v>43336.0544212963</v>
      </c>
      <c r="F406" t="s">
        <v>300</v>
      </c>
      <c r="G406" t="s">
        <v>461</v>
      </c>
      <c r="H406" t="s">
        <v>443</v>
      </c>
      <c r="I406" t="s">
        <v>494</v>
      </c>
      <c r="J406" t="s">
        <v>583</v>
      </c>
    </row>
    <row r="407" spans="1:10" hidden="1" x14ac:dyDescent="0.25">
      <c r="A407" t="s">
        <v>118</v>
      </c>
      <c r="B407" t="s">
        <v>6</v>
      </c>
      <c r="C407" t="s">
        <v>7</v>
      </c>
      <c r="D407" t="s">
        <v>10</v>
      </c>
      <c r="E407" s="2">
        <v>43336.054456018515</v>
      </c>
      <c r="F407" t="s">
        <v>299</v>
      </c>
      <c r="G407" t="s">
        <v>318</v>
      </c>
      <c r="H407" t="s">
        <v>426</v>
      </c>
      <c r="I407" t="s">
        <v>492</v>
      </c>
      <c r="J407" t="s">
        <v>546</v>
      </c>
    </row>
    <row r="408" spans="1:10" hidden="1" x14ac:dyDescent="0.25">
      <c r="A408" t="s">
        <v>281</v>
      </c>
      <c r="B408" t="s">
        <v>6</v>
      </c>
      <c r="C408" t="s">
        <v>7</v>
      </c>
      <c r="D408" t="s">
        <v>10</v>
      </c>
      <c r="E408" s="2">
        <v>43336.054479166669</v>
      </c>
      <c r="F408" t="s">
        <v>590</v>
      </c>
      <c r="G408" t="s">
        <v>428</v>
      </c>
      <c r="H408" t="s">
        <v>448</v>
      </c>
      <c r="I408" t="s">
        <v>499</v>
      </c>
      <c r="J408" t="s">
        <v>497</v>
      </c>
    </row>
    <row r="409" spans="1:10" hidden="1" x14ac:dyDescent="0.25">
      <c r="A409" t="s">
        <v>397</v>
      </c>
      <c r="B409" t="s">
        <v>306</v>
      </c>
      <c r="C409" t="s">
        <v>306</v>
      </c>
      <c r="D409" t="s">
        <v>307</v>
      </c>
      <c r="E409" s="2">
        <v>43336.054490740738</v>
      </c>
      <c r="F409" t="s">
        <v>586</v>
      </c>
      <c r="G409" t="s">
        <v>318</v>
      </c>
      <c r="H409" t="s">
        <v>323</v>
      </c>
      <c r="I409" t="s">
        <v>490</v>
      </c>
      <c r="J409" t="s">
        <v>491</v>
      </c>
    </row>
    <row r="410" spans="1:10" hidden="1" x14ac:dyDescent="0.25">
      <c r="A410" t="s">
        <v>180</v>
      </c>
      <c r="B410" t="s">
        <v>6</v>
      </c>
      <c r="C410" t="s">
        <v>7</v>
      </c>
      <c r="D410" t="s">
        <v>10</v>
      </c>
      <c r="E410" s="2">
        <v>43336.054525462961</v>
      </c>
      <c r="F410" t="s">
        <v>298</v>
      </c>
      <c r="G410" t="s">
        <v>318</v>
      </c>
      <c r="H410" t="s">
        <v>456</v>
      </c>
      <c r="I410" t="s">
        <v>492</v>
      </c>
      <c r="J410" t="s">
        <v>493</v>
      </c>
    </row>
    <row r="411" spans="1:10" hidden="1" x14ac:dyDescent="0.25">
      <c r="A411" t="s">
        <v>210</v>
      </c>
      <c r="B411" t="s">
        <v>6</v>
      </c>
      <c r="C411" t="s">
        <v>7</v>
      </c>
      <c r="D411" t="s">
        <v>10</v>
      </c>
      <c r="E411" s="2">
        <v>43336.0546412037</v>
      </c>
      <c r="F411" t="s">
        <v>303</v>
      </c>
      <c r="G411" t="s">
        <v>426</v>
      </c>
      <c r="H411" t="s">
        <v>438</v>
      </c>
      <c r="I411" t="s">
        <v>494</v>
      </c>
      <c r="J411" t="s">
        <v>501</v>
      </c>
    </row>
    <row r="412" spans="1:10" hidden="1" x14ac:dyDescent="0.25">
      <c r="A412" t="s">
        <v>351</v>
      </c>
      <c r="B412" t="s">
        <v>6</v>
      </c>
      <c r="C412" t="s">
        <v>7</v>
      </c>
      <c r="D412" t="s">
        <v>10</v>
      </c>
      <c r="E412" s="2">
        <v>43336.0547337963</v>
      </c>
      <c r="F412" t="s">
        <v>587</v>
      </c>
      <c r="G412" t="s">
        <v>457</v>
      </c>
      <c r="H412" t="s">
        <v>442</v>
      </c>
      <c r="I412" t="s">
        <v>580</v>
      </c>
      <c r="J412" t="s">
        <v>491</v>
      </c>
    </row>
    <row r="413" spans="1:10" hidden="1" x14ac:dyDescent="0.25">
      <c r="A413" t="s">
        <v>181</v>
      </c>
      <c r="B413" t="s">
        <v>6</v>
      </c>
      <c r="C413" t="s">
        <v>7</v>
      </c>
      <c r="D413" t="s">
        <v>13</v>
      </c>
      <c r="E413" s="2">
        <v>43336.055011574077</v>
      </c>
      <c r="F413" t="s">
        <v>591</v>
      </c>
      <c r="G413" t="s">
        <v>318</v>
      </c>
      <c r="H413" t="s">
        <v>461</v>
      </c>
      <c r="I413" t="s">
        <v>497</v>
      </c>
      <c r="J413" t="s">
        <v>497</v>
      </c>
    </row>
    <row r="414" spans="1:10" hidden="1" x14ac:dyDescent="0.25">
      <c r="A414" t="s">
        <v>291</v>
      </c>
      <c r="B414" t="s">
        <v>6</v>
      </c>
      <c r="C414" t="s">
        <v>7</v>
      </c>
      <c r="D414" t="s">
        <v>10</v>
      </c>
      <c r="E414" s="2">
        <v>43336.055011574077</v>
      </c>
      <c r="F414" t="s">
        <v>585</v>
      </c>
      <c r="G414" t="s">
        <v>318</v>
      </c>
      <c r="H414" t="s">
        <v>455</v>
      </c>
      <c r="I414" t="s">
        <v>494</v>
      </c>
      <c r="J414" t="s">
        <v>501</v>
      </c>
    </row>
    <row r="415" spans="1:10" hidden="1" x14ac:dyDescent="0.25">
      <c r="A415" t="s">
        <v>244</v>
      </c>
      <c r="B415" t="s">
        <v>6</v>
      </c>
      <c r="C415" t="s">
        <v>7</v>
      </c>
      <c r="D415" t="s">
        <v>10</v>
      </c>
      <c r="E415" s="2">
        <v>43336.055046296293</v>
      </c>
      <c r="F415" t="s">
        <v>300</v>
      </c>
      <c r="G415" t="s">
        <v>461</v>
      </c>
      <c r="H415" t="s">
        <v>444</v>
      </c>
      <c r="I415" t="s">
        <v>494</v>
      </c>
      <c r="J415" t="s">
        <v>583</v>
      </c>
    </row>
    <row r="416" spans="1:10" hidden="1" x14ac:dyDescent="0.25">
      <c r="A416" t="s">
        <v>79</v>
      </c>
      <c r="B416" t="s">
        <v>6</v>
      </c>
      <c r="C416" t="s">
        <v>7</v>
      </c>
      <c r="D416" t="s">
        <v>10</v>
      </c>
      <c r="E416" s="2">
        <v>43336.055115740739</v>
      </c>
      <c r="F416" t="s">
        <v>299</v>
      </c>
      <c r="G416" t="s">
        <v>318</v>
      </c>
      <c r="H416" t="s">
        <v>427</v>
      </c>
      <c r="I416" t="s">
        <v>492</v>
      </c>
      <c r="J416" t="s">
        <v>546</v>
      </c>
    </row>
    <row r="417" spans="1:10" hidden="1" x14ac:dyDescent="0.25">
      <c r="A417" t="s">
        <v>115</v>
      </c>
      <c r="B417" t="s">
        <v>6</v>
      </c>
      <c r="C417" t="s">
        <v>7</v>
      </c>
      <c r="D417" t="s">
        <v>10</v>
      </c>
      <c r="E417" s="2">
        <v>43336.055115740739</v>
      </c>
      <c r="F417" t="s">
        <v>590</v>
      </c>
      <c r="G417" t="s">
        <v>428</v>
      </c>
      <c r="H417" t="s">
        <v>449</v>
      </c>
      <c r="I417" t="s">
        <v>499</v>
      </c>
      <c r="J417" t="s">
        <v>497</v>
      </c>
    </row>
    <row r="418" spans="1:10" hidden="1" x14ac:dyDescent="0.25">
      <c r="A418" t="s">
        <v>160</v>
      </c>
      <c r="B418" t="s">
        <v>6</v>
      </c>
      <c r="C418" t="s">
        <v>7</v>
      </c>
      <c r="D418" t="s">
        <v>10</v>
      </c>
      <c r="E418" s="2">
        <v>43336.055127314816</v>
      </c>
      <c r="F418" t="s">
        <v>298</v>
      </c>
      <c r="G418" t="s">
        <v>318</v>
      </c>
      <c r="H418" t="s">
        <v>426</v>
      </c>
      <c r="I418" t="s">
        <v>492</v>
      </c>
      <c r="J418" t="s">
        <v>493</v>
      </c>
    </row>
    <row r="419" spans="1:10" hidden="1" x14ac:dyDescent="0.25">
      <c r="A419" t="s">
        <v>209</v>
      </c>
      <c r="B419" t="s">
        <v>6</v>
      </c>
      <c r="C419" t="s">
        <v>7</v>
      </c>
      <c r="D419" t="s">
        <v>10</v>
      </c>
      <c r="E419" s="2">
        <v>43336.055254629631</v>
      </c>
      <c r="F419" t="s">
        <v>303</v>
      </c>
      <c r="G419" t="s">
        <v>426</v>
      </c>
      <c r="H419" t="s">
        <v>439</v>
      </c>
      <c r="I419" t="s">
        <v>494</v>
      </c>
      <c r="J419" t="s">
        <v>501</v>
      </c>
    </row>
    <row r="420" spans="1:10" hidden="1" x14ac:dyDescent="0.25">
      <c r="A420" t="s">
        <v>352</v>
      </c>
      <c r="B420" t="s">
        <v>6</v>
      </c>
      <c r="C420" t="s">
        <v>7</v>
      </c>
      <c r="D420" t="s">
        <v>10</v>
      </c>
      <c r="E420" s="2">
        <v>43336.055509259262</v>
      </c>
      <c r="F420" t="s">
        <v>587</v>
      </c>
      <c r="G420" t="s">
        <v>457</v>
      </c>
      <c r="H420" t="s">
        <v>443</v>
      </c>
      <c r="I420" t="s">
        <v>579</v>
      </c>
      <c r="J420" t="s">
        <v>491</v>
      </c>
    </row>
    <row r="421" spans="1:10" hidden="1" x14ac:dyDescent="0.25">
      <c r="A421" t="s">
        <v>292</v>
      </c>
      <c r="B421" t="s">
        <v>6</v>
      </c>
      <c r="C421" t="s">
        <v>7</v>
      </c>
      <c r="D421" t="s">
        <v>10</v>
      </c>
      <c r="E421" s="2">
        <v>43336.055625000001</v>
      </c>
      <c r="F421" t="s">
        <v>585</v>
      </c>
      <c r="G421" t="s">
        <v>318</v>
      </c>
      <c r="H421" t="s">
        <v>456</v>
      </c>
      <c r="I421" t="s">
        <v>494</v>
      </c>
      <c r="J421" t="s">
        <v>501</v>
      </c>
    </row>
    <row r="422" spans="1:10" hidden="1" x14ac:dyDescent="0.25">
      <c r="A422" t="s">
        <v>80</v>
      </c>
      <c r="B422" t="s">
        <v>6</v>
      </c>
      <c r="C422" t="s">
        <v>7</v>
      </c>
      <c r="D422" t="s">
        <v>476</v>
      </c>
      <c r="E422" s="2">
        <v>43336.055648148147</v>
      </c>
      <c r="F422" t="s">
        <v>591</v>
      </c>
      <c r="G422" t="s">
        <v>318</v>
      </c>
      <c r="H422" t="s">
        <v>462</v>
      </c>
      <c r="I422" t="s">
        <v>497</v>
      </c>
      <c r="J422" t="s">
        <v>497</v>
      </c>
    </row>
    <row r="423" spans="1:10" hidden="1" x14ac:dyDescent="0.25">
      <c r="A423" t="s">
        <v>256</v>
      </c>
      <c r="B423" t="s">
        <v>6</v>
      </c>
      <c r="C423" t="s">
        <v>7</v>
      </c>
      <c r="D423" t="s">
        <v>10</v>
      </c>
      <c r="E423" s="2">
        <v>43336.055671296293</v>
      </c>
      <c r="F423" t="s">
        <v>300</v>
      </c>
      <c r="G423" t="s">
        <v>461</v>
      </c>
      <c r="H423" t="s">
        <v>445</v>
      </c>
      <c r="I423" t="s">
        <v>494</v>
      </c>
      <c r="J423" t="s">
        <v>583</v>
      </c>
    </row>
    <row r="424" spans="1:10" hidden="1" x14ac:dyDescent="0.25">
      <c r="A424" t="s">
        <v>186</v>
      </c>
      <c r="B424" t="s">
        <v>6</v>
      </c>
      <c r="C424" t="s">
        <v>7</v>
      </c>
      <c r="D424" t="s">
        <v>476</v>
      </c>
      <c r="E424" s="2">
        <v>43336.05572916667</v>
      </c>
      <c r="F424" t="s">
        <v>590</v>
      </c>
      <c r="G424" t="s">
        <v>428</v>
      </c>
      <c r="H424" t="s">
        <v>450</v>
      </c>
      <c r="I424" t="s">
        <v>496</v>
      </c>
      <c r="J424" t="s">
        <v>497</v>
      </c>
    </row>
    <row r="425" spans="1:10" hidden="1" x14ac:dyDescent="0.25">
      <c r="A425" t="s">
        <v>103</v>
      </c>
      <c r="B425" t="s">
        <v>6</v>
      </c>
      <c r="C425" t="s">
        <v>7</v>
      </c>
      <c r="D425" t="s">
        <v>10</v>
      </c>
      <c r="E425" s="2">
        <v>43336.055821759262</v>
      </c>
      <c r="F425" t="s">
        <v>299</v>
      </c>
      <c r="G425" t="s">
        <v>318</v>
      </c>
      <c r="H425" t="s">
        <v>428</v>
      </c>
      <c r="I425" t="s">
        <v>492</v>
      </c>
      <c r="J425" t="s">
        <v>546</v>
      </c>
    </row>
    <row r="426" spans="1:10" hidden="1" x14ac:dyDescent="0.25">
      <c r="A426" t="s">
        <v>157</v>
      </c>
      <c r="B426" t="s">
        <v>6</v>
      </c>
      <c r="C426" t="s">
        <v>7</v>
      </c>
      <c r="D426" t="s">
        <v>13</v>
      </c>
      <c r="E426" s="2">
        <v>43336.055891203701</v>
      </c>
      <c r="F426" t="s">
        <v>298</v>
      </c>
      <c r="G426" t="s">
        <v>318</v>
      </c>
      <c r="H426" t="s">
        <v>427</v>
      </c>
      <c r="I426" t="s">
        <v>13</v>
      </c>
      <c r="J426" t="s">
        <v>535</v>
      </c>
    </row>
    <row r="427" spans="1:10" hidden="1" x14ac:dyDescent="0.25">
      <c r="A427" t="s">
        <v>179</v>
      </c>
      <c r="B427" t="s">
        <v>6</v>
      </c>
      <c r="C427" t="s">
        <v>7</v>
      </c>
      <c r="D427" t="s">
        <v>10</v>
      </c>
      <c r="E427" s="2">
        <v>43336.055937500001</v>
      </c>
      <c r="F427" t="s">
        <v>303</v>
      </c>
      <c r="G427" t="s">
        <v>426</v>
      </c>
      <c r="H427" t="s">
        <v>440</v>
      </c>
      <c r="I427" t="s">
        <v>494</v>
      </c>
      <c r="J427" t="s">
        <v>501</v>
      </c>
    </row>
    <row r="428" spans="1:10" hidden="1" x14ac:dyDescent="0.25">
      <c r="A428" t="s">
        <v>353</v>
      </c>
      <c r="B428" t="s">
        <v>6</v>
      </c>
      <c r="C428" t="s">
        <v>7</v>
      </c>
      <c r="D428" t="s">
        <v>10</v>
      </c>
      <c r="E428" s="2">
        <v>43336.056122685186</v>
      </c>
      <c r="F428" t="s">
        <v>587</v>
      </c>
      <c r="G428" t="s">
        <v>457</v>
      </c>
      <c r="H428" t="s">
        <v>444</v>
      </c>
      <c r="I428" t="s">
        <v>588</v>
      </c>
      <c r="J428" t="s">
        <v>491</v>
      </c>
    </row>
    <row r="429" spans="1:10" hidden="1" x14ac:dyDescent="0.25">
      <c r="A429" t="s">
        <v>170</v>
      </c>
      <c r="B429" t="s">
        <v>6</v>
      </c>
      <c r="C429" t="s">
        <v>7</v>
      </c>
      <c r="D429" t="s">
        <v>10</v>
      </c>
      <c r="E429" s="2">
        <v>43336.056273148148</v>
      </c>
      <c r="F429" t="s">
        <v>585</v>
      </c>
      <c r="G429" t="s">
        <v>318</v>
      </c>
      <c r="H429" t="s">
        <v>426</v>
      </c>
      <c r="I429" t="s">
        <v>494</v>
      </c>
      <c r="J429" t="s">
        <v>501</v>
      </c>
    </row>
    <row r="430" spans="1:10" hidden="1" x14ac:dyDescent="0.25">
      <c r="A430" t="s">
        <v>257</v>
      </c>
      <c r="B430" t="s">
        <v>6</v>
      </c>
      <c r="C430" t="s">
        <v>7</v>
      </c>
      <c r="D430" t="s">
        <v>10</v>
      </c>
      <c r="E430" s="2">
        <v>43336.056284722225</v>
      </c>
      <c r="F430" t="s">
        <v>300</v>
      </c>
      <c r="G430" t="s">
        <v>461</v>
      </c>
      <c r="H430" t="s">
        <v>446</v>
      </c>
      <c r="I430" t="s">
        <v>584</v>
      </c>
      <c r="J430" t="s">
        <v>584</v>
      </c>
    </row>
    <row r="431" spans="1:10" hidden="1" x14ac:dyDescent="0.25">
      <c r="A431" t="s">
        <v>46</v>
      </c>
      <c r="B431" t="s">
        <v>6</v>
      </c>
      <c r="C431" t="s">
        <v>7</v>
      </c>
      <c r="D431" t="s">
        <v>476</v>
      </c>
      <c r="E431" s="2">
        <v>43336.056354166663</v>
      </c>
      <c r="F431" t="s">
        <v>590</v>
      </c>
      <c r="G431" t="s">
        <v>428</v>
      </c>
      <c r="H431" t="s">
        <v>451</v>
      </c>
      <c r="I431" t="s">
        <v>497</v>
      </c>
      <c r="J431" t="s">
        <v>497</v>
      </c>
    </row>
    <row r="432" spans="1:10" hidden="1" x14ac:dyDescent="0.25">
      <c r="A432" t="s">
        <v>395</v>
      </c>
      <c r="B432" t="s">
        <v>6</v>
      </c>
      <c r="C432" t="s">
        <v>7</v>
      </c>
      <c r="D432" t="s">
        <v>13</v>
      </c>
      <c r="E432" s="2">
        <v>43336.056435185186</v>
      </c>
      <c r="F432" t="s">
        <v>591</v>
      </c>
      <c r="G432" t="s">
        <v>318</v>
      </c>
      <c r="H432" t="s">
        <v>453</v>
      </c>
      <c r="I432" t="s">
        <v>548</v>
      </c>
      <c r="J432" t="s">
        <v>549</v>
      </c>
    </row>
    <row r="433" spans="1:10" hidden="1" x14ac:dyDescent="0.25">
      <c r="A433" t="s">
        <v>82</v>
      </c>
      <c r="B433" t="s">
        <v>6</v>
      </c>
      <c r="C433" t="s">
        <v>7</v>
      </c>
      <c r="D433" t="s">
        <v>10</v>
      </c>
      <c r="E433" s="2">
        <v>43336.056504629632</v>
      </c>
      <c r="F433" t="s">
        <v>299</v>
      </c>
      <c r="G433" t="s">
        <v>318</v>
      </c>
      <c r="H433" t="s">
        <v>429</v>
      </c>
      <c r="I433" t="s">
        <v>492</v>
      </c>
      <c r="J433" t="s">
        <v>546</v>
      </c>
    </row>
    <row r="434" spans="1:10" hidden="1" x14ac:dyDescent="0.25">
      <c r="A434" t="s">
        <v>177</v>
      </c>
      <c r="B434" t="s">
        <v>6</v>
      </c>
      <c r="C434" t="s">
        <v>7</v>
      </c>
      <c r="D434" t="s">
        <v>10</v>
      </c>
      <c r="E434" s="2">
        <v>43336.056550925925</v>
      </c>
      <c r="F434" t="s">
        <v>303</v>
      </c>
      <c r="G434" t="s">
        <v>426</v>
      </c>
      <c r="H434" t="s">
        <v>441</v>
      </c>
      <c r="I434" t="s">
        <v>494</v>
      </c>
      <c r="J434" t="s">
        <v>501</v>
      </c>
    </row>
    <row r="435" spans="1:10" hidden="1" x14ac:dyDescent="0.25">
      <c r="A435" t="s">
        <v>354</v>
      </c>
      <c r="B435" t="s">
        <v>6</v>
      </c>
      <c r="C435" t="s">
        <v>7</v>
      </c>
      <c r="D435" t="s">
        <v>10</v>
      </c>
      <c r="E435" s="2">
        <v>43336.05673611111</v>
      </c>
      <c r="F435" t="s">
        <v>587</v>
      </c>
      <c r="G435" t="s">
        <v>457</v>
      </c>
      <c r="H435" t="s">
        <v>445</v>
      </c>
      <c r="I435" t="s">
        <v>539</v>
      </c>
      <c r="J435" t="s">
        <v>491</v>
      </c>
    </row>
    <row r="436" spans="1:10" hidden="1" x14ac:dyDescent="0.25">
      <c r="A436" t="s">
        <v>263</v>
      </c>
      <c r="B436" t="s">
        <v>6</v>
      </c>
      <c r="C436" t="s">
        <v>7</v>
      </c>
      <c r="D436" t="s">
        <v>10</v>
      </c>
      <c r="E436" s="2">
        <v>43336.056898148148</v>
      </c>
      <c r="F436" t="s">
        <v>300</v>
      </c>
      <c r="G436" t="s">
        <v>461</v>
      </c>
      <c r="H436" t="s">
        <v>447</v>
      </c>
      <c r="I436" t="s">
        <v>584</v>
      </c>
      <c r="J436" t="s">
        <v>584</v>
      </c>
    </row>
    <row r="437" spans="1:10" hidden="1" x14ac:dyDescent="0.25">
      <c r="A437" t="s">
        <v>293</v>
      </c>
      <c r="B437" t="s">
        <v>6</v>
      </c>
      <c r="C437" t="s">
        <v>7</v>
      </c>
      <c r="D437" t="s">
        <v>10</v>
      </c>
      <c r="E437" s="2">
        <v>43336.056898148148</v>
      </c>
      <c r="F437" t="s">
        <v>585</v>
      </c>
      <c r="G437" t="s">
        <v>318</v>
      </c>
      <c r="H437" t="s">
        <v>427</v>
      </c>
      <c r="I437" t="s">
        <v>494</v>
      </c>
      <c r="J437" t="s">
        <v>501</v>
      </c>
    </row>
    <row r="438" spans="1:10" hidden="1" x14ac:dyDescent="0.25">
      <c r="A438" t="s">
        <v>208</v>
      </c>
      <c r="B438" t="s">
        <v>6</v>
      </c>
      <c r="C438" t="s">
        <v>7</v>
      </c>
      <c r="D438" t="s">
        <v>13</v>
      </c>
      <c r="E438" s="2">
        <v>43336.05709490741</v>
      </c>
      <c r="F438" t="s">
        <v>590</v>
      </c>
      <c r="G438" t="s">
        <v>428</v>
      </c>
      <c r="H438" t="s">
        <v>452</v>
      </c>
      <c r="I438" t="s">
        <v>497</v>
      </c>
      <c r="J438" t="s">
        <v>497</v>
      </c>
    </row>
    <row r="439" spans="1:10" hidden="1" x14ac:dyDescent="0.25">
      <c r="A439" t="s">
        <v>365</v>
      </c>
      <c r="B439" t="s">
        <v>6</v>
      </c>
      <c r="C439" t="s">
        <v>7</v>
      </c>
      <c r="D439" t="s">
        <v>13</v>
      </c>
      <c r="E439" s="2">
        <v>43336.057199074072</v>
      </c>
      <c r="F439" t="s">
        <v>591</v>
      </c>
      <c r="G439" t="s">
        <v>318</v>
      </c>
      <c r="H439" t="s">
        <v>454</v>
      </c>
      <c r="I439" t="s">
        <v>548</v>
      </c>
      <c r="J439" t="s">
        <v>550</v>
      </c>
    </row>
    <row r="440" spans="1:10" hidden="1" x14ac:dyDescent="0.25">
      <c r="A440" t="s">
        <v>287</v>
      </c>
      <c r="B440" t="s">
        <v>6</v>
      </c>
      <c r="C440" t="s">
        <v>7</v>
      </c>
      <c r="D440" t="s">
        <v>10</v>
      </c>
      <c r="E440" s="2">
        <v>43336.057233796295</v>
      </c>
      <c r="F440" t="s">
        <v>303</v>
      </c>
      <c r="G440" t="s">
        <v>426</v>
      </c>
      <c r="H440" t="s">
        <v>442</v>
      </c>
      <c r="I440" t="s">
        <v>494</v>
      </c>
      <c r="J440" t="s">
        <v>501</v>
      </c>
    </row>
    <row r="441" spans="1:10" hidden="1" x14ac:dyDescent="0.25">
      <c r="A441" t="s">
        <v>81</v>
      </c>
      <c r="B441" t="s">
        <v>6</v>
      </c>
      <c r="C441" t="s">
        <v>7</v>
      </c>
      <c r="D441" t="s">
        <v>10</v>
      </c>
      <c r="E441" s="2">
        <v>43336.057256944441</v>
      </c>
      <c r="F441" t="s">
        <v>299</v>
      </c>
      <c r="G441" t="s">
        <v>318</v>
      </c>
      <c r="H441" t="s">
        <v>430</v>
      </c>
      <c r="I441" t="s">
        <v>533</v>
      </c>
      <c r="J441" t="s">
        <v>543</v>
      </c>
    </row>
    <row r="442" spans="1:10" hidden="1" x14ac:dyDescent="0.25">
      <c r="A442" t="s">
        <v>222</v>
      </c>
      <c r="B442" t="s">
        <v>6</v>
      </c>
      <c r="C442" t="s">
        <v>7</v>
      </c>
      <c r="D442" t="s">
        <v>484</v>
      </c>
      <c r="E442" s="2">
        <v>43336.057291666664</v>
      </c>
      <c r="F442" t="s">
        <v>298</v>
      </c>
      <c r="G442" t="s">
        <v>318</v>
      </c>
      <c r="H442" t="s">
        <v>428</v>
      </c>
      <c r="I442" t="s">
        <v>13</v>
      </c>
      <c r="J442" t="s">
        <v>532</v>
      </c>
    </row>
    <row r="443" spans="1:10" hidden="1" x14ac:dyDescent="0.25">
      <c r="A443" t="s">
        <v>355</v>
      </c>
      <c r="B443" t="s">
        <v>6</v>
      </c>
      <c r="C443" t="s">
        <v>7</v>
      </c>
      <c r="D443" t="s">
        <v>10</v>
      </c>
      <c r="E443" s="2">
        <v>43336.057349537034</v>
      </c>
      <c r="F443" t="s">
        <v>587</v>
      </c>
      <c r="G443" t="s">
        <v>457</v>
      </c>
      <c r="H443" t="s">
        <v>446</v>
      </c>
      <c r="I443" t="s">
        <v>538</v>
      </c>
      <c r="J443" t="s">
        <v>491</v>
      </c>
    </row>
    <row r="444" spans="1:10" hidden="1" x14ac:dyDescent="0.25">
      <c r="A444" t="s">
        <v>44</v>
      </c>
      <c r="B444" t="s">
        <v>6</v>
      </c>
      <c r="C444" t="s">
        <v>7</v>
      </c>
      <c r="D444" t="s">
        <v>10</v>
      </c>
      <c r="E444" s="2">
        <v>43336.057523148149</v>
      </c>
      <c r="F444" t="s">
        <v>585</v>
      </c>
      <c r="G444" t="s">
        <v>318</v>
      </c>
      <c r="H444" t="s">
        <v>428</v>
      </c>
      <c r="I444" t="s">
        <v>494</v>
      </c>
      <c r="J444" t="s">
        <v>501</v>
      </c>
    </row>
    <row r="445" spans="1:10" hidden="1" x14ac:dyDescent="0.25">
      <c r="A445" t="s">
        <v>264</v>
      </c>
      <c r="B445" t="s">
        <v>6</v>
      </c>
      <c r="C445" t="s">
        <v>7</v>
      </c>
      <c r="D445" t="s">
        <v>10</v>
      </c>
      <c r="E445" s="2">
        <v>43336.057523148149</v>
      </c>
      <c r="F445" t="s">
        <v>300</v>
      </c>
      <c r="G445" t="s">
        <v>461</v>
      </c>
      <c r="H445" t="s">
        <v>448</v>
      </c>
      <c r="I445" t="s">
        <v>584</v>
      </c>
      <c r="J445" t="s">
        <v>584</v>
      </c>
    </row>
    <row r="446" spans="1:10" hidden="1" x14ac:dyDescent="0.25">
      <c r="A446" t="s">
        <v>30</v>
      </c>
      <c r="B446" t="s">
        <v>6</v>
      </c>
      <c r="C446" t="s">
        <v>7</v>
      </c>
      <c r="D446" t="s">
        <v>10</v>
      </c>
      <c r="E446" s="2">
        <v>43336.057708333334</v>
      </c>
      <c r="F446" t="s">
        <v>590</v>
      </c>
      <c r="G446" t="s">
        <v>428</v>
      </c>
      <c r="H446" t="s">
        <v>318</v>
      </c>
      <c r="I446" t="s">
        <v>494</v>
      </c>
      <c r="J446" t="s">
        <v>495</v>
      </c>
    </row>
    <row r="447" spans="1:10" hidden="1" x14ac:dyDescent="0.25">
      <c r="A447" t="s">
        <v>185</v>
      </c>
      <c r="B447" t="s">
        <v>6</v>
      </c>
      <c r="C447" t="s">
        <v>7</v>
      </c>
      <c r="D447" t="s">
        <v>10</v>
      </c>
      <c r="E447" s="2">
        <v>43336.057858796295</v>
      </c>
      <c r="F447" t="s">
        <v>303</v>
      </c>
      <c r="G447" t="s">
        <v>426</v>
      </c>
      <c r="H447" t="s">
        <v>443</v>
      </c>
      <c r="I447" t="s">
        <v>494</v>
      </c>
      <c r="J447" t="s">
        <v>501</v>
      </c>
    </row>
    <row r="448" spans="1:10" hidden="1" x14ac:dyDescent="0.25">
      <c r="A448" t="s">
        <v>230</v>
      </c>
      <c r="B448" t="s">
        <v>6</v>
      </c>
      <c r="C448" t="s">
        <v>7</v>
      </c>
      <c r="D448" t="s">
        <v>10</v>
      </c>
      <c r="E448" s="2">
        <v>43336.057893518519</v>
      </c>
      <c r="F448" t="s">
        <v>298</v>
      </c>
      <c r="G448" t="s">
        <v>318</v>
      </c>
      <c r="H448" t="s">
        <v>429</v>
      </c>
      <c r="I448" t="s">
        <v>509</v>
      </c>
      <c r="J448" t="s">
        <v>510</v>
      </c>
    </row>
    <row r="449" spans="1:10" hidden="1" x14ac:dyDescent="0.25">
      <c r="A449" t="s">
        <v>153</v>
      </c>
      <c r="B449" t="s">
        <v>6</v>
      </c>
      <c r="C449" t="s">
        <v>7</v>
      </c>
      <c r="D449" t="s">
        <v>10</v>
      </c>
      <c r="E449" s="2">
        <v>43336.057916666665</v>
      </c>
      <c r="F449" t="s">
        <v>299</v>
      </c>
      <c r="G449" t="s">
        <v>318</v>
      </c>
      <c r="H449" t="s">
        <v>431</v>
      </c>
      <c r="I449" t="s">
        <v>533</v>
      </c>
      <c r="J449" t="s">
        <v>543</v>
      </c>
    </row>
    <row r="450" spans="1:10" hidden="1" x14ac:dyDescent="0.25">
      <c r="A450" t="s">
        <v>396</v>
      </c>
      <c r="B450" t="s">
        <v>6</v>
      </c>
      <c r="C450" t="s">
        <v>7</v>
      </c>
      <c r="D450" t="s">
        <v>13</v>
      </c>
      <c r="E450" s="2">
        <v>43336.057951388888</v>
      </c>
      <c r="F450" t="s">
        <v>591</v>
      </c>
      <c r="G450" t="s">
        <v>318</v>
      </c>
      <c r="H450" t="s">
        <v>455</v>
      </c>
      <c r="I450" t="s">
        <v>548</v>
      </c>
      <c r="J450" t="s">
        <v>551</v>
      </c>
    </row>
    <row r="451" spans="1:10" hidden="1" x14ac:dyDescent="0.25">
      <c r="A451" t="s">
        <v>357</v>
      </c>
      <c r="B451" t="s">
        <v>6</v>
      </c>
      <c r="C451" t="s">
        <v>7</v>
      </c>
      <c r="D451" t="s">
        <v>10</v>
      </c>
      <c r="E451" s="2">
        <v>43336.057962962965</v>
      </c>
      <c r="F451" t="s">
        <v>587</v>
      </c>
      <c r="G451" t="s">
        <v>457</v>
      </c>
      <c r="H451" t="s">
        <v>447</v>
      </c>
      <c r="I451" t="s">
        <v>536</v>
      </c>
      <c r="J451" t="s">
        <v>491</v>
      </c>
    </row>
    <row r="452" spans="1:10" hidden="1" x14ac:dyDescent="0.25">
      <c r="A452" t="s">
        <v>133</v>
      </c>
      <c r="B452" t="s">
        <v>6</v>
      </c>
      <c r="C452" t="s">
        <v>7</v>
      </c>
      <c r="D452" t="s">
        <v>10</v>
      </c>
      <c r="E452" s="2">
        <v>43336.058136574073</v>
      </c>
      <c r="F452" t="s">
        <v>585</v>
      </c>
      <c r="G452" t="s">
        <v>318</v>
      </c>
      <c r="H452" t="s">
        <v>429</v>
      </c>
      <c r="I452" t="s">
        <v>494</v>
      </c>
      <c r="J452" t="s">
        <v>501</v>
      </c>
    </row>
    <row r="453" spans="1:10" hidden="1" x14ac:dyDescent="0.25">
      <c r="A453" t="s">
        <v>265</v>
      </c>
      <c r="B453" t="s">
        <v>6</v>
      </c>
      <c r="C453" t="s">
        <v>7</v>
      </c>
      <c r="D453" t="s">
        <v>10</v>
      </c>
      <c r="E453" s="2">
        <v>43336.058148148149</v>
      </c>
      <c r="F453" t="s">
        <v>300</v>
      </c>
      <c r="G453" t="s">
        <v>461</v>
      </c>
      <c r="H453" t="s">
        <v>449</v>
      </c>
      <c r="I453" t="s">
        <v>584</v>
      </c>
      <c r="J453" t="s">
        <v>584</v>
      </c>
    </row>
    <row r="454" spans="1:10" hidden="1" x14ac:dyDescent="0.25">
      <c r="A454" t="s">
        <v>29</v>
      </c>
      <c r="B454" t="s">
        <v>6</v>
      </c>
      <c r="C454" t="s">
        <v>7</v>
      </c>
      <c r="D454" t="s">
        <v>476</v>
      </c>
      <c r="E454" s="2">
        <v>43336.058321759258</v>
      </c>
      <c r="F454" t="s">
        <v>590</v>
      </c>
      <c r="G454" t="s">
        <v>428</v>
      </c>
      <c r="H454" t="s">
        <v>323</v>
      </c>
      <c r="I454" t="s">
        <v>494</v>
      </c>
      <c r="J454" t="s">
        <v>497</v>
      </c>
    </row>
    <row r="455" spans="1:10" hidden="1" x14ac:dyDescent="0.25">
      <c r="A455" t="s">
        <v>226</v>
      </c>
      <c r="B455" t="s">
        <v>6</v>
      </c>
      <c r="C455" t="s">
        <v>7</v>
      </c>
      <c r="D455" t="s">
        <v>10</v>
      </c>
      <c r="E455" s="2">
        <v>43336.058495370373</v>
      </c>
      <c r="F455" t="s">
        <v>298</v>
      </c>
      <c r="G455" t="s">
        <v>318</v>
      </c>
      <c r="H455" t="s">
        <v>430</v>
      </c>
      <c r="I455" t="s">
        <v>509</v>
      </c>
      <c r="J455" t="s">
        <v>510</v>
      </c>
    </row>
    <row r="456" spans="1:10" hidden="1" x14ac:dyDescent="0.25">
      <c r="A456" t="s">
        <v>340</v>
      </c>
      <c r="B456" t="s">
        <v>6</v>
      </c>
      <c r="C456" t="s">
        <v>7</v>
      </c>
      <c r="D456" t="s">
        <v>476</v>
      </c>
      <c r="E456" s="2">
        <v>43336.058564814812</v>
      </c>
      <c r="F456" t="s">
        <v>591</v>
      </c>
      <c r="G456" t="s">
        <v>318</v>
      </c>
      <c r="H456" t="s">
        <v>456</v>
      </c>
      <c r="I456" t="s">
        <v>548</v>
      </c>
      <c r="J456" t="s">
        <v>552</v>
      </c>
    </row>
    <row r="457" spans="1:10" hidden="1" x14ac:dyDescent="0.25">
      <c r="A457" t="s">
        <v>358</v>
      </c>
      <c r="B457" t="s">
        <v>6</v>
      </c>
      <c r="C457" t="s">
        <v>7</v>
      </c>
      <c r="D457" t="s">
        <v>10</v>
      </c>
      <c r="E457" s="2">
        <v>43336.058564814812</v>
      </c>
      <c r="F457" t="s">
        <v>587</v>
      </c>
      <c r="G457" t="s">
        <v>457</v>
      </c>
      <c r="H457" t="s">
        <v>448</v>
      </c>
      <c r="I457" t="s">
        <v>534</v>
      </c>
      <c r="J457" t="s">
        <v>520</v>
      </c>
    </row>
    <row r="458" spans="1:10" hidden="1" x14ac:dyDescent="0.25">
      <c r="A458" t="s">
        <v>99</v>
      </c>
      <c r="B458" t="s">
        <v>6</v>
      </c>
      <c r="C458" t="s">
        <v>7</v>
      </c>
      <c r="D458" t="s">
        <v>10</v>
      </c>
      <c r="E458" s="2">
        <v>43336.058564814812</v>
      </c>
      <c r="F458" t="s">
        <v>299</v>
      </c>
      <c r="G458" t="s">
        <v>318</v>
      </c>
      <c r="H458" t="s">
        <v>432</v>
      </c>
      <c r="I458" t="s">
        <v>533</v>
      </c>
      <c r="J458" t="s">
        <v>543</v>
      </c>
    </row>
    <row r="459" spans="1:10" hidden="1" x14ac:dyDescent="0.25">
      <c r="A459" t="s">
        <v>175</v>
      </c>
      <c r="B459" t="s">
        <v>6</v>
      </c>
      <c r="C459" t="s">
        <v>7</v>
      </c>
      <c r="D459" t="s">
        <v>27</v>
      </c>
      <c r="E459" s="2">
        <v>43336.058611111112</v>
      </c>
      <c r="F459" t="s">
        <v>303</v>
      </c>
      <c r="G459" t="s">
        <v>426</v>
      </c>
      <c r="H459" t="s">
        <v>444</v>
      </c>
      <c r="I459" t="s">
        <v>494</v>
      </c>
      <c r="J459" t="s">
        <v>501</v>
      </c>
    </row>
    <row r="460" spans="1:10" hidden="1" x14ac:dyDescent="0.25">
      <c r="A460" t="s">
        <v>398</v>
      </c>
      <c r="B460" t="s">
        <v>306</v>
      </c>
      <c r="C460" t="s">
        <v>306</v>
      </c>
      <c r="D460" t="s">
        <v>307</v>
      </c>
      <c r="E460" s="2">
        <v>43336.058657407404</v>
      </c>
      <c r="F460" t="s">
        <v>586</v>
      </c>
      <c r="G460" t="s">
        <v>318</v>
      </c>
      <c r="H460" t="s">
        <v>385</v>
      </c>
      <c r="I460" t="s">
        <v>490</v>
      </c>
      <c r="J460" t="s">
        <v>491</v>
      </c>
    </row>
    <row r="461" spans="1:10" hidden="1" x14ac:dyDescent="0.25">
      <c r="A461" t="s">
        <v>124</v>
      </c>
      <c r="B461" t="s">
        <v>6</v>
      </c>
      <c r="C461" t="s">
        <v>7</v>
      </c>
      <c r="D461" t="s">
        <v>10</v>
      </c>
      <c r="E461" s="2">
        <v>43336.058761574073</v>
      </c>
      <c r="F461" t="s">
        <v>585</v>
      </c>
      <c r="G461" t="s">
        <v>318</v>
      </c>
      <c r="H461" t="s">
        <v>430</v>
      </c>
      <c r="I461" t="s">
        <v>494</v>
      </c>
      <c r="J461" t="s">
        <v>501</v>
      </c>
    </row>
    <row r="462" spans="1:10" hidden="1" x14ac:dyDescent="0.25">
      <c r="A462" t="s">
        <v>266</v>
      </c>
      <c r="B462" t="s">
        <v>6</v>
      </c>
      <c r="C462" t="s">
        <v>7</v>
      </c>
      <c r="D462" t="s">
        <v>10</v>
      </c>
      <c r="E462" s="2">
        <v>43336.058831018519</v>
      </c>
      <c r="F462" t="s">
        <v>300</v>
      </c>
      <c r="G462" t="s">
        <v>461</v>
      </c>
      <c r="H462" t="s">
        <v>450</v>
      </c>
      <c r="I462" t="s">
        <v>584</v>
      </c>
      <c r="J462" t="s">
        <v>584</v>
      </c>
    </row>
    <row r="463" spans="1:10" hidden="1" x14ac:dyDescent="0.25">
      <c r="A463" t="s">
        <v>28</v>
      </c>
      <c r="B463" t="s">
        <v>6</v>
      </c>
      <c r="C463" t="s">
        <v>7</v>
      </c>
      <c r="D463" t="s">
        <v>476</v>
      </c>
      <c r="E463" s="2">
        <v>43336.058946759258</v>
      </c>
      <c r="F463" t="s">
        <v>590</v>
      </c>
      <c r="G463" t="s">
        <v>428</v>
      </c>
      <c r="H463" t="s">
        <v>385</v>
      </c>
      <c r="I463" t="s">
        <v>494</v>
      </c>
      <c r="J463" t="s">
        <v>497</v>
      </c>
    </row>
    <row r="464" spans="1:10" hidden="1" x14ac:dyDescent="0.25">
      <c r="A464" t="s">
        <v>161</v>
      </c>
      <c r="B464" t="s">
        <v>6</v>
      </c>
      <c r="C464" t="s">
        <v>7</v>
      </c>
      <c r="D464" t="s">
        <v>10</v>
      </c>
      <c r="E464" s="2">
        <v>43336.059108796297</v>
      </c>
      <c r="F464" t="s">
        <v>298</v>
      </c>
      <c r="G464" t="s">
        <v>318</v>
      </c>
      <c r="H464" t="s">
        <v>431</v>
      </c>
      <c r="I464" t="s">
        <v>492</v>
      </c>
      <c r="J464" t="s">
        <v>493</v>
      </c>
    </row>
    <row r="465" spans="1:10" hidden="1" x14ac:dyDescent="0.25">
      <c r="A465" t="s">
        <v>301</v>
      </c>
      <c r="B465" t="s">
        <v>6</v>
      </c>
      <c r="C465" t="s">
        <v>7</v>
      </c>
      <c r="D465" t="s">
        <v>10</v>
      </c>
      <c r="E465" s="2">
        <v>43336.059178240743</v>
      </c>
      <c r="F465" t="s">
        <v>591</v>
      </c>
      <c r="G465" t="s">
        <v>318</v>
      </c>
      <c r="H465" t="s">
        <v>426</v>
      </c>
      <c r="I465" t="s">
        <v>513</v>
      </c>
      <c r="J465" t="s">
        <v>555</v>
      </c>
    </row>
    <row r="466" spans="1:10" hidden="1" x14ac:dyDescent="0.25">
      <c r="A466" t="s">
        <v>155</v>
      </c>
      <c r="B466" t="s">
        <v>6</v>
      </c>
      <c r="C466" t="s">
        <v>7</v>
      </c>
      <c r="D466" t="s">
        <v>476</v>
      </c>
      <c r="E466" s="2">
        <v>43336.059212962966</v>
      </c>
      <c r="F466" t="s">
        <v>299</v>
      </c>
      <c r="G466" t="s">
        <v>318</v>
      </c>
      <c r="H466" t="s">
        <v>433</v>
      </c>
      <c r="I466" t="s">
        <v>553</v>
      </c>
      <c r="J466" t="s">
        <v>497</v>
      </c>
    </row>
    <row r="467" spans="1:10" hidden="1" x14ac:dyDescent="0.25">
      <c r="A467" t="s">
        <v>288</v>
      </c>
      <c r="B467" t="s">
        <v>6</v>
      </c>
      <c r="C467" t="s">
        <v>7</v>
      </c>
      <c r="D467" t="s">
        <v>10</v>
      </c>
      <c r="E467" s="2">
        <v>43336.059293981481</v>
      </c>
      <c r="F467" t="s">
        <v>303</v>
      </c>
      <c r="G467" t="s">
        <v>426</v>
      </c>
      <c r="H467" t="s">
        <v>445</v>
      </c>
      <c r="I467" t="s">
        <v>494</v>
      </c>
      <c r="J467" t="s">
        <v>501</v>
      </c>
    </row>
    <row r="468" spans="1:10" hidden="1" x14ac:dyDescent="0.25">
      <c r="A468" t="s">
        <v>382</v>
      </c>
      <c r="B468" t="s">
        <v>6</v>
      </c>
      <c r="C468" t="s">
        <v>7</v>
      </c>
      <c r="D468" t="s">
        <v>27</v>
      </c>
      <c r="E468" s="2">
        <v>43336.059305555558</v>
      </c>
      <c r="F468" t="s">
        <v>587</v>
      </c>
      <c r="G468" t="s">
        <v>457</v>
      </c>
      <c r="H468" t="s">
        <v>449</v>
      </c>
      <c r="I468" t="s">
        <v>531</v>
      </c>
      <c r="J468" t="s">
        <v>520</v>
      </c>
    </row>
    <row r="469" spans="1:10" hidden="1" x14ac:dyDescent="0.25">
      <c r="A469" t="s">
        <v>43</v>
      </c>
      <c r="B469" t="s">
        <v>6</v>
      </c>
      <c r="C469" t="s">
        <v>7</v>
      </c>
      <c r="D469" t="s">
        <v>10</v>
      </c>
      <c r="E469" s="2">
        <v>43336.059398148151</v>
      </c>
      <c r="F469" t="s">
        <v>585</v>
      </c>
      <c r="G469" t="s">
        <v>318</v>
      </c>
      <c r="H469" t="s">
        <v>431</v>
      </c>
      <c r="I469" t="s">
        <v>494</v>
      </c>
      <c r="J469" t="s">
        <v>501</v>
      </c>
    </row>
    <row r="470" spans="1:10" hidden="1" x14ac:dyDescent="0.25">
      <c r="A470" t="s">
        <v>242</v>
      </c>
      <c r="B470" t="s">
        <v>6</v>
      </c>
      <c r="C470" t="s">
        <v>7</v>
      </c>
      <c r="D470" t="s">
        <v>10</v>
      </c>
      <c r="E470" s="2">
        <v>43336.05945601852</v>
      </c>
      <c r="F470" t="s">
        <v>300</v>
      </c>
      <c r="G470" t="s">
        <v>461</v>
      </c>
      <c r="H470" t="s">
        <v>451</v>
      </c>
      <c r="I470" t="s">
        <v>498</v>
      </c>
      <c r="J470" t="s">
        <v>498</v>
      </c>
    </row>
    <row r="471" spans="1:10" hidden="1" x14ac:dyDescent="0.25">
      <c r="A471" t="s">
        <v>25</v>
      </c>
      <c r="B471" t="s">
        <v>6</v>
      </c>
      <c r="C471" t="s">
        <v>7</v>
      </c>
      <c r="D471" t="s">
        <v>476</v>
      </c>
      <c r="E471" s="2">
        <v>43336.059583333335</v>
      </c>
      <c r="F471" t="s">
        <v>590</v>
      </c>
      <c r="G471" t="s">
        <v>428</v>
      </c>
      <c r="H471" t="s">
        <v>457</v>
      </c>
      <c r="I471" t="s">
        <v>494</v>
      </c>
      <c r="J471" t="s">
        <v>497</v>
      </c>
    </row>
    <row r="472" spans="1:10" hidden="1" x14ac:dyDescent="0.25">
      <c r="A472" t="s">
        <v>378</v>
      </c>
      <c r="B472" t="s">
        <v>6</v>
      </c>
      <c r="C472" t="s">
        <v>7</v>
      </c>
      <c r="D472" t="s">
        <v>10</v>
      </c>
      <c r="E472" s="2">
        <v>43336.059803240743</v>
      </c>
      <c r="F472" t="s">
        <v>591</v>
      </c>
      <c r="G472" t="s">
        <v>318</v>
      </c>
      <c r="H472" t="s">
        <v>427</v>
      </c>
      <c r="I472" t="s">
        <v>554</v>
      </c>
      <c r="J472" t="s">
        <v>556</v>
      </c>
    </row>
    <row r="473" spans="1:10" hidden="1" x14ac:dyDescent="0.25">
      <c r="A473" t="s">
        <v>120</v>
      </c>
      <c r="B473" t="s">
        <v>6</v>
      </c>
      <c r="C473" t="s">
        <v>219</v>
      </c>
      <c r="D473" t="s">
        <v>476</v>
      </c>
      <c r="E473" s="2">
        <v>43336.059861111113</v>
      </c>
      <c r="F473" t="s">
        <v>299</v>
      </c>
      <c r="G473" t="s">
        <v>318</v>
      </c>
      <c r="H473" t="s">
        <v>434</v>
      </c>
      <c r="I473" t="s">
        <v>553</v>
      </c>
      <c r="J473" t="s">
        <v>497</v>
      </c>
    </row>
    <row r="474" spans="1:10" hidden="1" x14ac:dyDescent="0.25">
      <c r="A474" t="s">
        <v>228</v>
      </c>
      <c r="B474" t="s">
        <v>6</v>
      </c>
      <c r="C474" t="s">
        <v>7</v>
      </c>
      <c r="D474" t="s">
        <v>27</v>
      </c>
      <c r="E474" s="2">
        <v>43336.059907407405</v>
      </c>
      <c r="F474" t="s">
        <v>298</v>
      </c>
      <c r="G474" t="s">
        <v>318</v>
      </c>
      <c r="H474" t="s">
        <v>432</v>
      </c>
      <c r="I474" t="s">
        <v>509</v>
      </c>
      <c r="J474" t="s">
        <v>523</v>
      </c>
    </row>
    <row r="475" spans="1:10" hidden="1" x14ac:dyDescent="0.25">
      <c r="A475" t="s">
        <v>139</v>
      </c>
      <c r="B475" t="s">
        <v>6</v>
      </c>
      <c r="C475" t="s">
        <v>7</v>
      </c>
      <c r="D475" t="s">
        <v>10</v>
      </c>
      <c r="E475" s="2">
        <v>43336.059918981482</v>
      </c>
      <c r="F475" t="s">
        <v>303</v>
      </c>
      <c r="G475" t="s">
        <v>426</v>
      </c>
      <c r="H475" t="s">
        <v>446</v>
      </c>
      <c r="I475" t="s">
        <v>494</v>
      </c>
      <c r="J475" t="s">
        <v>501</v>
      </c>
    </row>
    <row r="476" spans="1:10" hidden="1" x14ac:dyDescent="0.25">
      <c r="A476" t="s">
        <v>42</v>
      </c>
      <c r="B476" t="s">
        <v>6</v>
      </c>
      <c r="C476" t="s">
        <v>7</v>
      </c>
      <c r="D476" t="s">
        <v>10</v>
      </c>
      <c r="E476" s="2">
        <v>43336.060011574074</v>
      </c>
      <c r="F476" t="s">
        <v>585</v>
      </c>
      <c r="G476" t="s">
        <v>318</v>
      </c>
      <c r="H476" t="s">
        <v>432</v>
      </c>
      <c r="I476" t="s">
        <v>494</v>
      </c>
      <c r="J476" t="s">
        <v>501</v>
      </c>
    </row>
    <row r="477" spans="1:10" hidden="1" x14ac:dyDescent="0.25">
      <c r="A477" t="s">
        <v>481</v>
      </c>
      <c r="B477" t="s">
        <v>6</v>
      </c>
      <c r="C477" t="s">
        <v>7</v>
      </c>
      <c r="D477" t="s">
        <v>27</v>
      </c>
      <c r="E477" s="2">
        <v>43336.060057870367</v>
      </c>
      <c r="F477" t="s">
        <v>587</v>
      </c>
      <c r="G477" t="s">
        <v>457</v>
      </c>
      <c r="H477" t="s">
        <v>450</v>
      </c>
      <c r="I477" t="s">
        <v>530</v>
      </c>
      <c r="J477" t="s">
        <v>520</v>
      </c>
    </row>
    <row r="478" spans="1:10" hidden="1" x14ac:dyDescent="0.25">
      <c r="A478" t="s">
        <v>267</v>
      </c>
      <c r="B478" t="s">
        <v>6</v>
      </c>
      <c r="C478" t="s">
        <v>7</v>
      </c>
      <c r="D478" t="s">
        <v>10</v>
      </c>
      <c r="E478" s="2">
        <v>43336.06009259259</v>
      </c>
      <c r="F478" t="s">
        <v>300</v>
      </c>
      <c r="G478" t="s">
        <v>461</v>
      </c>
      <c r="H478" t="s">
        <v>452</v>
      </c>
      <c r="I478" t="s">
        <v>498</v>
      </c>
      <c r="J478" t="s">
        <v>498</v>
      </c>
    </row>
    <row r="479" spans="1:10" hidden="1" x14ac:dyDescent="0.25">
      <c r="A479" t="s">
        <v>24</v>
      </c>
      <c r="B479" t="s">
        <v>6</v>
      </c>
      <c r="C479" t="s">
        <v>7</v>
      </c>
      <c r="D479" t="s">
        <v>476</v>
      </c>
      <c r="E479" s="2">
        <v>43336.060219907406</v>
      </c>
      <c r="F479" t="s">
        <v>590</v>
      </c>
      <c r="G479" t="s">
        <v>428</v>
      </c>
      <c r="H479" t="s">
        <v>458</v>
      </c>
      <c r="I479" t="s">
        <v>494</v>
      </c>
      <c r="J479" t="s">
        <v>497</v>
      </c>
    </row>
    <row r="480" spans="1:10" hidden="1" x14ac:dyDescent="0.25">
      <c r="A480" t="s">
        <v>324</v>
      </c>
      <c r="B480" t="s">
        <v>6</v>
      </c>
      <c r="C480" t="s">
        <v>7</v>
      </c>
      <c r="D480" t="s">
        <v>10</v>
      </c>
      <c r="E480" s="2">
        <v>43336.060416666667</v>
      </c>
      <c r="F480" t="s">
        <v>591</v>
      </c>
      <c r="G480" t="s">
        <v>318</v>
      </c>
      <c r="H480" t="s">
        <v>428</v>
      </c>
      <c r="I480" t="s">
        <v>554</v>
      </c>
      <c r="J480" t="s">
        <v>556</v>
      </c>
    </row>
    <row r="481" spans="1:10" hidden="1" x14ac:dyDescent="0.25">
      <c r="A481" t="s">
        <v>94</v>
      </c>
      <c r="B481" t="s">
        <v>6</v>
      </c>
      <c r="C481" t="s">
        <v>7</v>
      </c>
      <c r="D481" t="s">
        <v>10</v>
      </c>
      <c r="E481" s="2">
        <v>43336.06050925926</v>
      </c>
      <c r="F481" t="s">
        <v>299</v>
      </c>
      <c r="G481" t="s">
        <v>318</v>
      </c>
      <c r="H481" t="s">
        <v>435</v>
      </c>
      <c r="I481" t="s">
        <v>492</v>
      </c>
      <c r="J481" t="s">
        <v>546</v>
      </c>
    </row>
    <row r="482" spans="1:10" hidden="1" x14ac:dyDescent="0.25">
      <c r="A482" t="s">
        <v>87</v>
      </c>
      <c r="B482" t="s">
        <v>6</v>
      </c>
      <c r="C482" t="s">
        <v>7</v>
      </c>
      <c r="D482" t="s">
        <v>10</v>
      </c>
      <c r="E482" s="2">
        <v>43336.060543981483</v>
      </c>
      <c r="F482" t="s">
        <v>298</v>
      </c>
      <c r="G482" t="s">
        <v>318</v>
      </c>
      <c r="H482" t="s">
        <v>433</v>
      </c>
      <c r="I482" t="s">
        <v>492</v>
      </c>
      <c r="J482" t="s">
        <v>521</v>
      </c>
    </row>
    <row r="483" spans="1:10" hidden="1" x14ac:dyDescent="0.25">
      <c r="A483" t="s">
        <v>289</v>
      </c>
      <c r="B483" t="s">
        <v>6</v>
      </c>
      <c r="C483" t="s">
        <v>7</v>
      </c>
      <c r="D483" t="s">
        <v>10</v>
      </c>
      <c r="E483" s="2">
        <v>43336.060567129629</v>
      </c>
      <c r="F483" t="s">
        <v>303</v>
      </c>
      <c r="G483" t="s">
        <v>426</v>
      </c>
      <c r="H483" t="s">
        <v>447</v>
      </c>
      <c r="I483" t="s">
        <v>494</v>
      </c>
      <c r="J483" t="s">
        <v>501</v>
      </c>
    </row>
    <row r="484" spans="1:10" hidden="1" x14ac:dyDescent="0.25">
      <c r="A484" t="s">
        <v>234</v>
      </c>
      <c r="B484" t="s">
        <v>6</v>
      </c>
      <c r="C484" t="s">
        <v>7</v>
      </c>
      <c r="D484" t="s">
        <v>10</v>
      </c>
      <c r="E484" s="2">
        <v>43336.060624999998</v>
      </c>
      <c r="F484" t="s">
        <v>585</v>
      </c>
      <c r="G484" t="s">
        <v>318</v>
      </c>
      <c r="H484" t="s">
        <v>433</v>
      </c>
      <c r="I484" t="s">
        <v>494</v>
      </c>
      <c r="J484" t="s">
        <v>501</v>
      </c>
    </row>
    <row r="485" spans="1:10" hidden="1" x14ac:dyDescent="0.25">
      <c r="A485" t="s">
        <v>480</v>
      </c>
      <c r="B485" t="s">
        <v>6</v>
      </c>
      <c r="C485" t="s">
        <v>7</v>
      </c>
      <c r="D485" t="s">
        <v>10</v>
      </c>
      <c r="E485" s="2">
        <v>43336.060682870368</v>
      </c>
      <c r="F485" t="s">
        <v>587</v>
      </c>
      <c r="G485" t="s">
        <v>457</v>
      </c>
      <c r="H485" t="s">
        <v>451</v>
      </c>
      <c r="I485" t="s">
        <v>527</v>
      </c>
      <c r="J485" t="s">
        <v>520</v>
      </c>
    </row>
    <row r="486" spans="1:10" hidden="1" x14ac:dyDescent="0.25">
      <c r="A486" t="s">
        <v>55</v>
      </c>
      <c r="B486" t="s">
        <v>6</v>
      </c>
      <c r="C486" t="s">
        <v>7</v>
      </c>
      <c r="D486" t="s">
        <v>10</v>
      </c>
      <c r="E486" s="2">
        <v>43336.060729166667</v>
      </c>
      <c r="F486" t="s">
        <v>300</v>
      </c>
      <c r="G486" t="s">
        <v>461</v>
      </c>
      <c r="H486" t="s">
        <v>318</v>
      </c>
      <c r="I486" t="s">
        <v>558</v>
      </c>
      <c r="J486" t="s">
        <v>562</v>
      </c>
    </row>
    <row r="487" spans="1:10" hidden="1" x14ac:dyDescent="0.25">
      <c r="A487" t="s">
        <v>238</v>
      </c>
      <c r="B487" t="s">
        <v>6</v>
      </c>
      <c r="C487" t="s">
        <v>7</v>
      </c>
      <c r="D487" t="s">
        <v>13</v>
      </c>
      <c r="E487" s="2">
        <v>43336.060995370368</v>
      </c>
      <c r="F487" t="s">
        <v>590</v>
      </c>
      <c r="G487" t="s">
        <v>428</v>
      </c>
      <c r="H487" t="s">
        <v>459</v>
      </c>
      <c r="I487" t="s">
        <v>494</v>
      </c>
      <c r="J487" t="s">
        <v>497</v>
      </c>
    </row>
    <row r="488" spans="1:10" hidden="1" x14ac:dyDescent="0.25">
      <c r="A488" t="s">
        <v>325</v>
      </c>
      <c r="B488" t="s">
        <v>6</v>
      </c>
      <c r="C488" t="s">
        <v>7</v>
      </c>
      <c r="D488" t="s">
        <v>10</v>
      </c>
      <c r="E488" s="2">
        <v>43336.061030092591</v>
      </c>
      <c r="F488" t="s">
        <v>591</v>
      </c>
      <c r="G488" t="s">
        <v>318</v>
      </c>
      <c r="H488" t="s">
        <v>429</v>
      </c>
      <c r="I488" t="s">
        <v>554</v>
      </c>
      <c r="J488" t="s">
        <v>556</v>
      </c>
    </row>
    <row r="489" spans="1:10" hidden="1" x14ac:dyDescent="0.25">
      <c r="A489" t="s">
        <v>174</v>
      </c>
      <c r="B489" t="s">
        <v>6</v>
      </c>
      <c r="C489" t="s">
        <v>7</v>
      </c>
      <c r="D489" t="s">
        <v>10</v>
      </c>
      <c r="E489" s="2">
        <v>43336.061180555553</v>
      </c>
      <c r="F489" t="s">
        <v>303</v>
      </c>
      <c r="G489" t="s">
        <v>426</v>
      </c>
      <c r="H489" t="s">
        <v>448</v>
      </c>
      <c r="I489" t="s">
        <v>494</v>
      </c>
      <c r="J489" t="s">
        <v>501</v>
      </c>
    </row>
    <row r="490" spans="1:10" hidden="1" x14ac:dyDescent="0.25">
      <c r="A490" t="s">
        <v>91</v>
      </c>
      <c r="B490" t="s">
        <v>6</v>
      </c>
      <c r="C490" t="s">
        <v>7</v>
      </c>
      <c r="D490" t="s">
        <v>10</v>
      </c>
      <c r="E490" s="2">
        <v>43336.061180555553</v>
      </c>
      <c r="F490" t="s">
        <v>299</v>
      </c>
      <c r="G490" t="s">
        <v>318</v>
      </c>
      <c r="H490" t="s">
        <v>436</v>
      </c>
      <c r="I490" t="s">
        <v>492</v>
      </c>
      <c r="J490" t="s">
        <v>546</v>
      </c>
    </row>
    <row r="491" spans="1:10" hidden="1" x14ac:dyDescent="0.25">
      <c r="A491" t="s">
        <v>294</v>
      </c>
      <c r="B491" t="s">
        <v>6</v>
      </c>
      <c r="C491" t="s">
        <v>7</v>
      </c>
      <c r="D491" t="s">
        <v>10</v>
      </c>
      <c r="E491" s="2">
        <v>43336.061238425929</v>
      </c>
      <c r="F491" t="s">
        <v>585</v>
      </c>
      <c r="G491" t="s">
        <v>318</v>
      </c>
      <c r="H491" t="s">
        <v>434</v>
      </c>
      <c r="I491" t="s">
        <v>494</v>
      </c>
      <c r="J491" t="s">
        <v>501</v>
      </c>
    </row>
    <row r="492" spans="1:10" hidden="1" x14ac:dyDescent="0.25">
      <c r="A492" t="s">
        <v>486</v>
      </c>
      <c r="B492" t="s">
        <v>6</v>
      </c>
      <c r="C492" t="s">
        <v>7</v>
      </c>
      <c r="D492" t="s">
        <v>10</v>
      </c>
      <c r="E492" s="2">
        <v>43336.061296296299</v>
      </c>
      <c r="F492" t="s">
        <v>587</v>
      </c>
      <c r="G492" t="s">
        <v>457</v>
      </c>
      <c r="H492" t="s">
        <v>452</v>
      </c>
      <c r="I492" t="s">
        <v>524</v>
      </c>
      <c r="J492" t="s">
        <v>520</v>
      </c>
    </row>
    <row r="493" spans="1:10" hidden="1" x14ac:dyDescent="0.25">
      <c r="A493" t="s">
        <v>107</v>
      </c>
      <c r="B493" t="s">
        <v>6</v>
      </c>
      <c r="C493" t="s">
        <v>7</v>
      </c>
      <c r="D493" t="s">
        <v>10</v>
      </c>
      <c r="E493" s="2">
        <v>43336.061365740738</v>
      </c>
      <c r="F493" t="s">
        <v>300</v>
      </c>
      <c r="G493" t="s">
        <v>461</v>
      </c>
      <c r="H493" t="s">
        <v>323</v>
      </c>
      <c r="I493" t="s">
        <v>494</v>
      </c>
      <c r="J493" t="s">
        <v>13</v>
      </c>
    </row>
    <row r="494" spans="1:10" hidden="1" x14ac:dyDescent="0.25">
      <c r="A494" t="s">
        <v>399</v>
      </c>
      <c r="B494" t="s">
        <v>306</v>
      </c>
      <c r="C494" t="s">
        <v>306</v>
      </c>
      <c r="D494" t="s">
        <v>307</v>
      </c>
      <c r="E494" s="2">
        <v>43336.06144675926</v>
      </c>
      <c r="F494" t="s">
        <v>586</v>
      </c>
      <c r="G494" t="s">
        <v>318</v>
      </c>
      <c r="H494" t="s">
        <v>457</v>
      </c>
      <c r="I494" t="s">
        <v>490</v>
      </c>
      <c r="J494" t="s">
        <v>491</v>
      </c>
    </row>
    <row r="495" spans="1:10" hidden="1" x14ac:dyDescent="0.25">
      <c r="A495" t="s">
        <v>23</v>
      </c>
      <c r="B495" t="s">
        <v>6</v>
      </c>
      <c r="C495" t="s">
        <v>7</v>
      </c>
      <c r="D495" t="s">
        <v>13</v>
      </c>
      <c r="E495" s="2">
        <v>43336.061759259261</v>
      </c>
      <c r="F495" t="s">
        <v>590</v>
      </c>
      <c r="G495" t="s">
        <v>428</v>
      </c>
      <c r="H495" t="s">
        <v>460</v>
      </c>
      <c r="I495" t="s">
        <v>494</v>
      </c>
      <c r="J495" t="s">
        <v>497</v>
      </c>
    </row>
    <row r="496" spans="1:10" hidden="1" x14ac:dyDescent="0.25">
      <c r="A496" t="s">
        <v>366</v>
      </c>
      <c r="B496" t="s">
        <v>6</v>
      </c>
      <c r="C496" t="s">
        <v>7</v>
      </c>
      <c r="D496" t="s">
        <v>13</v>
      </c>
      <c r="E496" s="2">
        <v>43336.06177083333</v>
      </c>
      <c r="F496" t="s">
        <v>591</v>
      </c>
      <c r="G496" t="s">
        <v>318</v>
      </c>
      <c r="H496" t="s">
        <v>430</v>
      </c>
      <c r="I496" t="s">
        <v>554</v>
      </c>
      <c r="J496" t="s">
        <v>556</v>
      </c>
    </row>
    <row r="497" spans="1:10" hidden="1" x14ac:dyDescent="0.25">
      <c r="A497" t="s">
        <v>290</v>
      </c>
      <c r="B497" t="s">
        <v>6</v>
      </c>
      <c r="C497" t="s">
        <v>7</v>
      </c>
      <c r="D497" t="s">
        <v>10</v>
      </c>
      <c r="E497" s="2">
        <v>43336.061793981484</v>
      </c>
      <c r="F497" t="s">
        <v>303</v>
      </c>
      <c r="G497" t="s">
        <v>426</v>
      </c>
      <c r="H497" t="s">
        <v>449</v>
      </c>
      <c r="I497" t="s">
        <v>494</v>
      </c>
      <c r="J497" t="s">
        <v>501</v>
      </c>
    </row>
    <row r="498" spans="1:10" hidden="1" x14ac:dyDescent="0.25">
      <c r="A498" t="s">
        <v>295</v>
      </c>
      <c r="B498" t="s">
        <v>6</v>
      </c>
      <c r="C498" t="s">
        <v>7</v>
      </c>
      <c r="D498" t="s">
        <v>10</v>
      </c>
      <c r="E498" s="2">
        <v>43336.061840277776</v>
      </c>
      <c r="F498" t="s">
        <v>585</v>
      </c>
      <c r="G498" t="s">
        <v>318</v>
      </c>
      <c r="H498" t="s">
        <v>435</v>
      </c>
      <c r="I498" t="s">
        <v>494</v>
      </c>
      <c r="J498" t="s">
        <v>501</v>
      </c>
    </row>
    <row r="499" spans="1:10" hidden="1" x14ac:dyDescent="0.25">
      <c r="A499" t="s">
        <v>387</v>
      </c>
      <c r="B499" t="s">
        <v>6</v>
      </c>
      <c r="C499" t="s">
        <v>7</v>
      </c>
      <c r="D499" t="s">
        <v>10</v>
      </c>
      <c r="E499" s="2">
        <v>43336.061909722222</v>
      </c>
      <c r="F499" t="s">
        <v>587</v>
      </c>
      <c r="G499" t="s">
        <v>457</v>
      </c>
      <c r="H499" t="s">
        <v>318</v>
      </c>
      <c r="I499" t="s">
        <v>490</v>
      </c>
      <c r="J499" t="s">
        <v>491</v>
      </c>
    </row>
    <row r="500" spans="1:10" hidden="1" x14ac:dyDescent="0.25">
      <c r="A500" t="s">
        <v>220</v>
      </c>
      <c r="B500" t="s">
        <v>6</v>
      </c>
      <c r="C500" t="s">
        <v>7</v>
      </c>
      <c r="D500" t="s">
        <v>484</v>
      </c>
      <c r="E500" s="2">
        <v>43336.061944444446</v>
      </c>
      <c r="F500" t="s">
        <v>298</v>
      </c>
      <c r="G500" t="s">
        <v>318</v>
      </c>
      <c r="H500" t="s">
        <v>434</v>
      </c>
      <c r="I500" t="s">
        <v>509</v>
      </c>
      <c r="J500" t="s">
        <v>510</v>
      </c>
    </row>
    <row r="501" spans="1:10" hidden="1" x14ac:dyDescent="0.25">
      <c r="A501" t="s">
        <v>93</v>
      </c>
      <c r="B501" t="s">
        <v>6</v>
      </c>
      <c r="C501" t="s">
        <v>7</v>
      </c>
      <c r="D501" t="s">
        <v>10</v>
      </c>
      <c r="E501" s="2">
        <v>43336.061979166669</v>
      </c>
      <c r="F501" t="s">
        <v>300</v>
      </c>
      <c r="G501" t="s">
        <v>461</v>
      </c>
      <c r="H501" t="s">
        <v>385</v>
      </c>
      <c r="I501" t="s">
        <v>552</v>
      </c>
      <c r="J501" t="s">
        <v>565</v>
      </c>
    </row>
    <row r="502" spans="1:10" hidden="1" x14ac:dyDescent="0.25">
      <c r="A502" t="s">
        <v>89</v>
      </c>
      <c r="B502" t="s">
        <v>6</v>
      </c>
      <c r="C502" t="s">
        <v>7</v>
      </c>
      <c r="D502" t="s">
        <v>27</v>
      </c>
      <c r="E502" s="2">
        <v>43336.062083333331</v>
      </c>
      <c r="F502" t="s">
        <v>299</v>
      </c>
      <c r="G502" t="s">
        <v>318</v>
      </c>
      <c r="H502" t="s">
        <v>437</v>
      </c>
      <c r="I502" t="s">
        <v>492</v>
      </c>
      <c r="J502" t="s">
        <v>546</v>
      </c>
    </row>
    <row r="503" spans="1:10" hidden="1" x14ac:dyDescent="0.25">
      <c r="A503" t="s">
        <v>22</v>
      </c>
      <c r="B503" t="s">
        <v>6</v>
      </c>
      <c r="C503" t="s">
        <v>7</v>
      </c>
      <c r="D503" t="s">
        <v>476</v>
      </c>
      <c r="E503" s="2">
        <v>43336.062407407408</v>
      </c>
      <c r="F503" t="s">
        <v>590</v>
      </c>
      <c r="G503" t="s">
        <v>428</v>
      </c>
      <c r="H503" t="s">
        <v>461</v>
      </c>
      <c r="I503" t="s">
        <v>494</v>
      </c>
      <c r="J503" t="s">
        <v>497</v>
      </c>
    </row>
    <row r="504" spans="1:10" hidden="1" x14ac:dyDescent="0.25">
      <c r="A504" t="s">
        <v>236</v>
      </c>
      <c r="B504" t="s">
        <v>6</v>
      </c>
      <c r="C504" t="s">
        <v>7</v>
      </c>
      <c r="D504" t="s">
        <v>10</v>
      </c>
      <c r="E504" s="2">
        <v>43336.062418981484</v>
      </c>
      <c r="F504" t="s">
        <v>303</v>
      </c>
      <c r="G504" t="s">
        <v>426</v>
      </c>
      <c r="H504" t="s">
        <v>450</v>
      </c>
      <c r="I504" t="s">
        <v>494</v>
      </c>
      <c r="J504" t="s">
        <v>501</v>
      </c>
    </row>
    <row r="505" spans="1:10" hidden="1" x14ac:dyDescent="0.25">
      <c r="A505" t="s">
        <v>178</v>
      </c>
      <c r="B505" t="s">
        <v>6</v>
      </c>
      <c r="C505" t="s">
        <v>7</v>
      </c>
      <c r="D505" t="s">
        <v>10</v>
      </c>
      <c r="E505" s="2">
        <v>43336.062476851854</v>
      </c>
      <c r="F505" t="s">
        <v>585</v>
      </c>
      <c r="G505" t="s">
        <v>318</v>
      </c>
      <c r="H505" t="s">
        <v>436</v>
      </c>
      <c r="I505" t="s">
        <v>494</v>
      </c>
      <c r="J505" t="s">
        <v>501</v>
      </c>
    </row>
    <row r="506" spans="1:10" hidden="1" x14ac:dyDescent="0.25">
      <c r="A506" t="s">
        <v>379</v>
      </c>
      <c r="B506" t="s">
        <v>6</v>
      </c>
      <c r="C506" t="s">
        <v>7</v>
      </c>
      <c r="D506" t="s">
        <v>13</v>
      </c>
      <c r="E506" s="2">
        <v>43336.062511574077</v>
      </c>
      <c r="F506" t="s">
        <v>591</v>
      </c>
      <c r="G506" t="s">
        <v>318</v>
      </c>
      <c r="H506" t="s">
        <v>431</v>
      </c>
      <c r="I506" t="s">
        <v>554</v>
      </c>
      <c r="J506" t="s">
        <v>556</v>
      </c>
    </row>
    <row r="507" spans="1:10" hidden="1" x14ac:dyDescent="0.25">
      <c r="A507" t="s">
        <v>369</v>
      </c>
      <c r="B507" t="s">
        <v>6</v>
      </c>
      <c r="C507" t="s">
        <v>7</v>
      </c>
      <c r="D507" t="s">
        <v>10</v>
      </c>
      <c r="E507" s="2">
        <v>43336.062662037039</v>
      </c>
      <c r="F507" t="s">
        <v>587</v>
      </c>
      <c r="G507" t="s">
        <v>457</v>
      </c>
      <c r="H507" t="s">
        <v>323</v>
      </c>
      <c r="I507" t="s">
        <v>490</v>
      </c>
      <c r="J507" t="s">
        <v>491</v>
      </c>
    </row>
    <row r="508" spans="1:10" hidden="1" x14ac:dyDescent="0.25">
      <c r="A508" t="s">
        <v>92</v>
      </c>
      <c r="B508" t="s">
        <v>6</v>
      </c>
      <c r="C508" t="s">
        <v>7</v>
      </c>
      <c r="D508" t="s">
        <v>10</v>
      </c>
      <c r="E508" s="2">
        <v>43336.0627662037</v>
      </c>
      <c r="F508" t="s">
        <v>299</v>
      </c>
      <c r="G508" t="s">
        <v>318</v>
      </c>
      <c r="H508" t="s">
        <v>438</v>
      </c>
      <c r="I508" t="s">
        <v>492</v>
      </c>
      <c r="J508" t="s">
        <v>546</v>
      </c>
    </row>
    <row r="509" spans="1:10" hidden="1" x14ac:dyDescent="0.25">
      <c r="A509" t="s">
        <v>68</v>
      </c>
      <c r="B509" t="s">
        <v>6</v>
      </c>
      <c r="C509" t="s">
        <v>7</v>
      </c>
      <c r="D509" t="s">
        <v>27</v>
      </c>
      <c r="E509" s="2">
        <v>43336.0628125</v>
      </c>
      <c r="F509" t="s">
        <v>300</v>
      </c>
      <c r="G509" t="s">
        <v>461</v>
      </c>
      <c r="H509" t="s">
        <v>457</v>
      </c>
      <c r="I509" t="s">
        <v>552</v>
      </c>
      <c r="J509" t="s">
        <v>568</v>
      </c>
    </row>
    <row r="510" spans="1:10" hidden="1" x14ac:dyDescent="0.25">
      <c r="A510" t="s">
        <v>173</v>
      </c>
      <c r="B510" t="s">
        <v>6</v>
      </c>
      <c r="C510" t="s">
        <v>7</v>
      </c>
      <c r="D510" t="s">
        <v>10</v>
      </c>
      <c r="E510" s="2">
        <v>43336.063043981485</v>
      </c>
      <c r="F510" t="s">
        <v>303</v>
      </c>
      <c r="G510" t="s">
        <v>426</v>
      </c>
      <c r="H510" t="s">
        <v>451</v>
      </c>
      <c r="I510" t="s">
        <v>494</v>
      </c>
      <c r="J510" t="s">
        <v>501</v>
      </c>
    </row>
    <row r="511" spans="1:10" hidden="1" x14ac:dyDescent="0.25">
      <c r="A511" t="s">
        <v>40</v>
      </c>
      <c r="B511" t="s">
        <v>6</v>
      </c>
      <c r="C511" t="s">
        <v>7</v>
      </c>
      <c r="D511" t="s">
        <v>10</v>
      </c>
      <c r="E511" s="2">
        <v>43336.063113425924</v>
      </c>
      <c r="F511" t="s">
        <v>585</v>
      </c>
      <c r="G511" t="s">
        <v>318</v>
      </c>
      <c r="H511" t="s">
        <v>437</v>
      </c>
      <c r="I511" t="s">
        <v>494</v>
      </c>
      <c r="J511" t="s">
        <v>501</v>
      </c>
    </row>
    <row r="512" spans="1:10" hidden="1" x14ac:dyDescent="0.25">
      <c r="A512" t="s">
        <v>21</v>
      </c>
      <c r="B512" t="s">
        <v>6</v>
      </c>
      <c r="C512" t="s">
        <v>7</v>
      </c>
      <c r="D512" t="s">
        <v>13</v>
      </c>
      <c r="E512" s="2">
        <v>43336.06318287037</v>
      </c>
      <c r="F512" t="s">
        <v>590</v>
      </c>
      <c r="G512" t="s">
        <v>428</v>
      </c>
      <c r="H512" t="s">
        <v>462</v>
      </c>
      <c r="I512" t="s">
        <v>494</v>
      </c>
      <c r="J512" t="s">
        <v>497</v>
      </c>
    </row>
    <row r="513" spans="1:10" hidden="1" x14ac:dyDescent="0.25">
      <c r="A513" t="s">
        <v>418</v>
      </c>
      <c r="B513" t="s">
        <v>6</v>
      </c>
      <c r="C513" t="s">
        <v>7</v>
      </c>
      <c r="D513" t="s">
        <v>13</v>
      </c>
      <c r="E513" s="2">
        <v>43336.063298611109</v>
      </c>
      <c r="F513" t="s">
        <v>591</v>
      </c>
      <c r="G513" t="s">
        <v>318</v>
      </c>
      <c r="H513" t="s">
        <v>432</v>
      </c>
      <c r="I513" t="s">
        <v>554</v>
      </c>
      <c r="J513" t="s">
        <v>556</v>
      </c>
    </row>
    <row r="514" spans="1:10" hidden="1" x14ac:dyDescent="0.25">
      <c r="A514" t="s">
        <v>319</v>
      </c>
      <c r="B514" t="s">
        <v>6</v>
      </c>
      <c r="C514" t="s">
        <v>7</v>
      </c>
      <c r="D514" t="s">
        <v>27</v>
      </c>
      <c r="E514" s="2">
        <v>43336.063402777778</v>
      </c>
      <c r="F514" t="s">
        <v>587</v>
      </c>
      <c r="G514" t="s">
        <v>457</v>
      </c>
      <c r="H514" t="s">
        <v>385</v>
      </c>
      <c r="I514" t="s">
        <v>490</v>
      </c>
      <c r="J514" t="s">
        <v>491</v>
      </c>
    </row>
    <row r="515" spans="1:10" hidden="1" x14ac:dyDescent="0.25">
      <c r="A515" t="s">
        <v>69</v>
      </c>
      <c r="B515" t="s">
        <v>6</v>
      </c>
      <c r="C515" t="s">
        <v>7</v>
      </c>
      <c r="D515" t="s">
        <v>10</v>
      </c>
      <c r="E515" s="2">
        <v>43336.063425925924</v>
      </c>
      <c r="F515" t="s">
        <v>299</v>
      </c>
      <c r="G515" t="s">
        <v>318</v>
      </c>
      <c r="H515" t="s">
        <v>439</v>
      </c>
      <c r="I515" t="s">
        <v>492</v>
      </c>
      <c r="J515" t="s">
        <v>546</v>
      </c>
    </row>
    <row r="516" spans="1:10" hidden="1" x14ac:dyDescent="0.25">
      <c r="A516" t="s">
        <v>95</v>
      </c>
      <c r="B516" t="s">
        <v>6</v>
      </c>
      <c r="C516" t="s">
        <v>7</v>
      </c>
      <c r="D516" t="s">
        <v>10</v>
      </c>
      <c r="E516" s="2">
        <v>43336.063437500001</v>
      </c>
      <c r="F516" t="s">
        <v>300</v>
      </c>
      <c r="G516" t="s">
        <v>461</v>
      </c>
      <c r="H516" t="s">
        <v>458</v>
      </c>
      <c r="I516" t="s">
        <v>552</v>
      </c>
      <c r="J516" t="s">
        <v>568</v>
      </c>
    </row>
    <row r="517" spans="1:10" hidden="1" x14ac:dyDescent="0.25">
      <c r="A517" t="s">
        <v>224</v>
      </c>
      <c r="B517" t="s">
        <v>6</v>
      </c>
      <c r="C517" t="s">
        <v>7</v>
      </c>
      <c r="D517" t="s">
        <v>484</v>
      </c>
      <c r="E517" s="2">
        <v>43336.063460648147</v>
      </c>
      <c r="F517" t="s">
        <v>298</v>
      </c>
      <c r="G517" t="s">
        <v>318</v>
      </c>
      <c r="H517" t="s">
        <v>435</v>
      </c>
      <c r="I517" t="s">
        <v>13</v>
      </c>
      <c r="J517" t="s">
        <v>516</v>
      </c>
    </row>
    <row r="518" spans="1:10" hidden="1" x14ac:dyDescent="0.25">
      <c r="A518" t="s">
        <v>172</v>
      </c>
      <c r="B518" t="s">
        <v>6</v>
      </c>
      <c r="C518" t="s">
        <v>7</v>
      </c>
      <c r="D518" t="s">
        <v>10</v>
      </c>
      <c r="E518" s="2">
        <v>43336.063692129632</v>
      </c>
      <c r="F518" t="s">
        <v>303</v>
      </c>
      <c r="G518" t="s">
        <v>426</v>
      </c>
      <c r="H518" t="s">
        <v>452</v>
      </c>
      <c r="I518" t="s">
        <v>494</v>
      </c>
      <c r="J518" t="s">
        <v>501</v>
      </c>
    </row>
    <row r="519" spans="1:10" hidden="1" x14ac:dyDescent="0.25">
      <c r="A519" t="s">
        <v>149</v>
      </c>
      <c r="B519" t="s">
        <v>6</v>
      </c>
      <c r="C519" t="s">
        <v>7</v>
      </c>
      <c r="D519" t="s">
        <v>10</v>
      </c>
      <c r="E519" s="2">
        <v>43336.063750000001</v>
      </c>
      <c r="F519" t="s">
        <v>585</v>
      </c>
      <c r="G519" t="s">
        <v>318</v>
      </c>
      <c r="H519" t="s">
        <v>438</v>
      </c>
      <c r="I519" t="s">
        <v>494</v>
      </c>
      <c r="J519" t="s">
        <v>501</v>
      </c>
    </row>
    <row r="520" spans="1:10" hidden="1" x14ac:dyDescent="0.25">
      <c r="A520" t="s">
        <v>320</v>
      </c>
      <c r="B520" t="s">
        <v>6</v>
      </c>
      <c r="C520" t="s">
        <v>7</v>
      </c>
      <c r="D520" t="s">
        <v>10</v>
      </c>
      <c r="E520" s="2">
        <v>43336.064016203702</v>
      </c>
      <c r="F520" t="s">
        <v>587</v>
      </c>
      <c r="G520" t="s">
        <v>457</v>
      </c>
      <c r="H520" t="s">
        <v>457</v>
      </c>
      <c r="I520" t="s">
        <v>490</v>
      </c>
      <c r="J520" t="s">
        <v>491</v>
      </c>
    </row>
    <row r="521" spans="1:10" hidden="1" x14ac:dyDescent="0.25">
      <c r="A521" t="s">
        <v>20</v>
      </c>
      <c r="B521" t="s">
        <v>6</v>
      </c>
      <c r="C521" t="s">
        <v>7</v>
      </c>
      <c r="D521" t="s">
        <v>27</v>
      </c>
      <c r="E521" s="2">
        <v>43336.064016203702</v>
      </c>
      <c r="F521" t="s">
        <v>590</v>
      </c>
      <c r="G521" t="s">
        <v>428</v>
      </c>
      <c r="H521" t="s">
        <v>453</v>
      </c>
      <c r="I521" t="s">
        <v>494</v>
      </c>
      <c r="J521" t="s">
        <v>13</v>
      </c>
    </row>
    <row r="522" spans="1:10" hidden="1" x14ac:dyDescent="0.25">
      <c r="A522" t="s">
        <v>58</v>
      </c>
      <c r="B522" t="s">
        <v>6</v>
      </c>
      <c r="C522" t="s">
        <v>7</v>
      </c>
      <c r="D522" t="s">
        <v>10</v>
      </c>
      <c r="E522" s="2">
        <v>43336.064062500001</v>
      </c>
      <c r="F522" t="s">
        <v>300</v>
      </c>
      <c r="G522" t="s">
        <v>461</v>
      </c>
      <c r="H522" t="s">
        <v>459</v>
      </c>
      <c r="I522" t="s">
        <v>552</v>
      </c>
      <c r="J522" t="s">
        <v>568</v>
      </c>
    </row>
    <row r="523" spans="1:10" hidden="1" x14ac:dyDescent="0.25">
      <c r="A523" t="s">
        <v>225</v>
      </c>
      <c r="B523" t="s">
        <v>6</v>
      </c>
      <c r="C523" t="s">
        <v>7</v>
      </c>
      <c r="D523" t="s">
        <v>10</v>
      </c>
      <c r="E523" s="2">
        <v>43336.064074074071</v>
      </c>
      <c r="F523" t="s">
        <v>298</v>
      </c>
      <c r="G523" t="s">
        <v>318</v>
      </c>
      <c r="H523" t="s">
        <v>436</v>
      </c>
      <c r="I523" t="s">
        <v>492</v>
      </c>
      <c r="J523" t="s">
        <v>493</v>
      </c>
    </row>
    <row r="524" spans="1:10" hidden="1" x14ac:dyDescent="0.25">
      <c r="A524" t="s">
        <v>402</v>
      </c>
      <c r="B524" t="s">
        <v>6</v>
      </c>
      <c r="C524" t="s">
        <v>7</v>
      </c>
      <c r="D524" t="s">
        <v>13</v>
      </c>
      <c r="E524" s="2">
        <v>43336.064108796294</v>
      </c>
      <c r="F524" t="s">
        <v>591</v>
      </c>
      <c r="G524" t="s">
        <v>318</v>
      </c>
      <c r="H524" t="s">
        <v>433</v>
      </c>
      <c r="I524" t="s">
        <v>554</v>
      </c>
      <c r="J524" t="s">
        <v>556</v>
      </c>
    </row>
    <row r="525" spans="1:10" hidden="1" x14ac:dyDescent="0.25">
      <c r="A525" t="s">
        <v>152</v>
      </c>
      <c r="B525" t="s">
        <v>6</v>
      </c>
      <c r="C525" t="s">
        <v>7</v>
      </c>
      <c r="D525" t="s">
        <v>27</v>
      </c>
      <c r="E525" s="2">
        <v>43336.06422453704</v>
      </c>
      <c r="F525" t="s">
        <v>299</v>
      </c>
      <c r="G525" t="s">
        <v>318</v>
      </c>
      <c r="H525" t="s">
        <v>440</v>
      </c>
      <c r="I525" t="s">
        <v>492</v>
      </c>
      <c r="J525" t="s">
        <v>546</v>
      </c>
    </row>
    <row r="526" spans="1:10" hidden="1" x14ac:dyDescent="0.25">
      <c r="A526" t="s">
        <v>404</v>
      </c>
      <c r="B526" t="s">
        <v>306</v>
      </c>
      <c r="C526" t="s">
        <v>306</v>
      </c>
      <c r="D526" t="s">
        <v>307</v>
      </c>
      <c r="E526" s="2">
        <v>43336.064236111109</v>
      </c>
      <c r="F526" t="s">
        <v>586</v>
      </c>
      <c r="G526" t="s">
        <v>318</v>
      </c>
      <c r="H526" t="s">
        <v>458</v>
      </c>
      <c r="I526" t="s">
        <v>490</v>
      </c>
      <c r="J526" t="s">
        <v>491</v>
      </c>
    </row>
    <row r="527" spans="1:10" hidden="1" x14ac:dyDescent="0.25">
      <c r="A527" t="s">
        <v>278</v>
      </c>
      <c r="B527" t="s">
        <v>6</v>
      </c>
      <c r="C527" t="s">
        <v>7</v>
      </c>
      <c r="D527" t="s">
        <v>10</v>
      </c>
      <c r="E527" s="2">
        <v>43336.064305555556</v>
      </c>
      <c r="F527" t="s">
        <v>303</v>
      </c>
      <c r="G527" t="s">
        <v>426</v>
      </c>
      <c r="H527" t="s">
        <v>318</v>
      </c>
      <c r="I527" t="s">
        <v>498</v>
      </c>
      <c r="J527" t="s">
        <v>498</v>
      </c>
    </row>
    <row r="528" spans="1:10" hidden="1" x14ac:dyDescent="0.25">
      <c r="A528" t="s">
        <v>176</v>
      </c>
      <c r="B528" t="s">
        <v>6</v>
      </c>
      <c r="C528" t="s">
        <v>7</v>
      </c>
      <c r="D528" t="s">
        <v>10</v>
      </c>
      <c r="E528" s="2">
        <v>43336.064363425925</v>
      </c>
      <c r="F528" t="s">
        <v>585</v>
      </c>
      <c r="G528" t="s">
        <v>318</v>
      </c>
      <c r="H528" t="s">
        <v>439</v>
      </c>
      <c r="I528" t="s">
        <v>494</v>
      </c>
      <c r="J528" t="s">
        <v>495</v>
      </c>
    </row>
    <row r="529" spans="1:10" hidden="1" x14ac:dyDescent="0.25">
      <c r="A529" t="s">
        <v>229</v>
      </c>
      <c r="B529" t="s">
        <v>6</v>
      </c>
      <c r="C529" t="s">
        <v>7</v>
      </c>
      <c r="D529" t="s">
        <v>10</v>
      </c>
      <c r="E529" s="2">
        <v>43336.064722222225</v>
      </c>
      <c r="F529" t="s">
        <v>298</v>
      </c>
      <c r="G529" t="s">
        <v>318</v>
      </c>
      <c r="H529" t="s">
        <v>437</v>
      </c>
      <c r="I529" t="s">
        <v>492</v>
      </c>
      <c r="J529" t="s">
        <v>493</v>
      </c>
    </row>
    <row r="530" spans="1:10" hidden="1" x14ac:dyDescent="0.25">
      <c r="A530" t="s">
        <v>19</v>
      </c>
      <c r="B530" t="s">
        <v>6</v>
      </c>
      <c r="C530" t="s">
        <v>7</v>
      </c>
      <c r="D530" t="s">
        <v>10</v>
      </c>
      <c r="E530" s="2">
        <v>43336.064733796295</v>
      </c>
      <c r="F530" t="s">
        <v>590</v>
      </c>
      <c r="G530" t="s">
        <v>428</v>
      </c>
      <c r="H530" t="s">
        <v>454</v>
      </c>
      <c r="I530" t="s">
        <v>494</v>
      </c>
      <c r="J530" t="s">
        <v>509</v>
      </c>
    </row>
    <row r="531" spans="1:10" hidden="1" x14ac:dyDescent="0.25">
      <c r="A531" t="s">
        <v>54</v>
      </c>
      <c r="B531" t="s">
        <v>6</v>
      </c>
      <c r="C531" t="s">
        <v>7</v>
      </c>
      <c r="D531" t="s">
        <v>10</v>
      </c>
      <c r="E531" s="2">
        <v>43336.064745370371</v>
      </c>
      <c r="F531" t="s">
        <v>300</v>
      </c>
      <c r="G531" t="s">
        <v>461</v>
      </c>
      <c r="H531" t="s">
        <v>460</v>
      </c>
      <c r="I531" t="s">
        <v>552</v>
      </c>
      <c r="J531" t="s">
        <v>568</v>
      </c>
    </row>
    <row r="532" spans="1:10" hidden="1" x14ac:dyDescent="0.25">
      <c r="A532" t="s">
        <v>359</v>
      </c>
      <c r="B532" t="s">
        <v>6</v>
      </c>
      <c r="C532" t="s">
        <v>7</v>
      </c>
      <c r="D532" t="s">
        <v>27</v>
      </c>
      <c r="E532" s="2">
        <v>43336.06486111111</v>
      </c>
      <c r="F532" t="s">
        <v>587</v>
      </c>
      <c r="G532" t="s">
        <v>457</v>
      </c>
      <c r="H532" t="s">
        <v>458</v>
      </c>
      <c r="I532" t="s">
        <v>490</v>
      </c>
      <c r="J532" t="s">
        <v>491</v>
      </c>
    </row>
    <row r="533" spans="1:10" hidden="1" x14ac:dyDescent="0.25">
      <c r="A533" t="s">
        <v>403</v>
      </c>
      <c r="B533" t="s">
        <v>6</v>
      </c>
      <c r="C533" t="s">
        <v>7</v>
      </c>
      <c r="D533" t="s">
        <v>13</v>
      </c>
      <c r="E533" s="2">
        <v>43336.064895833333</v>
      </c>
      <c r="F533" t="s">
        <v>591</v>
      </c>
      <c r="G533" t="s">
        <v>318</v>
      </c>
      <c r="H533" t="s">
        <v>434</v>
      </c>
      <c r="I533" t="s">
        <v>554</v>
      </c>
      <c r="J533" t="s">
        <v>556</v>
      </c>
    </row>
    <row r="534" spans="1:10" hidden="1" x14ac:dyDescent="0.25">
      <c r="A534" t="s">
        <v>67</v>
      </c>
      <c r="B534" t="s">
        <v>6</v>
      </c>
      <c r="C534" t="s">
        <v>7</v>
      </c>
      <c r="D534" t="s">
        <v>10</v>
      </c>
      <c r="E534" s="2">
        <v>43336.064930555556</v>
      </c>
      <c r="F534" t="s">
        <v>299</v>
      </c>
      <c r="G534" t="s">
        <v>318</v>
      </c>
      <c r="H534" t="s">
        <v>441</v>
      </c>
      <c r="I534" t="s">
        <v>492</v>
      </c>
      <c r="J534" t="s">
        <v>546</v>
      </c>
    </row>
    <row r="535" spans="1:10" hidden="1" x14ac:dyDescent="0.25">
      <c r="A535" t="s">
        <v>147</v>
      </c>
      <c r="B535" t="s">
        <v>6</v>
      </c>
      <c r="C535" t="s">
        <v>7</v>
      </c>
      <c r="D535" t="s">
        <v>10</v>
      </c>
      <c r="E535" s="2">
        <v>43336.064942129633</v>
      </c>
      <c r="F535" t="s">
        <v>303</v>
      </c>
      <c r="G535" t="s">
        <v>426</v>
      </c>
      <c r="H535" t="s">
        <v>323</v>
      </c>
      <c r="I535" t="s">
        <v>498</v>
      </c>
      <c r="J535" t="s">
        <v>498</v>
      </c>
    </row>
    <row r="536" spans="1:10" hidden="1" x14ac:dyDescent="0.25">
      <c r="A536" t="s">
        <v>39</v>
      </c>
      <c r="B536" t="s">
        <v>6</v>
      </c>
      <c r="C536" t="s">
        <v>7</v>
      </c>
      <c r="D536" t="s">
        <v>10</v>
      </c>
      <c r="E536" s="2">
        <v>43336.064988425926</v>
      </c>
      <c r="F536" t="s">
        <v>585</v>
      </c>
      <c r="G536" t="s">
        <v>318</v>
      </c>
      <c r="H536" t="s">
        <v>440</v>
      </c>
      <c r="I536" t="s">
        <v>494</v>
      </c>
      <c r="J536" t="s">
        <v>495</v>
      </c>
    </row>
    <row r="537" spans="1:10" hidden="1" x14ac:dyDescent="0.25">
      <c r="A537" t="s">
        <v>223</v>
      </c>
      <c r="B537" t="s">
        <v>6</v>
      </c>
      <c r="C537" t="s">
        <v>7</v>
      </c>
      <c r="D537" t="s">
        <v>10</v>
      </c>
      <c r="E537" s="2">
        <v>43336.065324074072</v>
      </c>
      <c r="F537" t="s">
        <v>298</v>
      </c>
      <c r="G537" t="s">
        <v>318</v>
      </c>
      <c r="H537" t="s">
        <v>438</v>
      </c>
      <c r="I537" t="s">
        <v>509</v>
      </c>
      <c r="J537" t="s">
        <v>510</v>
      </c>
    </row>
    <row r="538" spans="1:10" hidden="1" x14ac:dyDescent="0.25">
      <c r="A538" t="s">
        <v>18</v>
      </c>
      <c r="B538" t="s">
        <v>6</v>
      </c>
      <c r="C538" t="s">
        <v>7</v>
      </c>
      <c r="D538" t="s">
        <v>10</v>
      </c>
      <c r="E538" s="2">
        <v>43336.065347222226</v>
      </c>
      <c r="F538" t="s">
        <v>590</v>
      </c>
      <c r="G538" t="s">
        <v>428</v>
      </c>
      <c r="H538" t="s">
        <v>455</v>
      </c>
      <c r="I538" t="s">
        <v>494</v>
      </c>
      <c r="J538" t="s">
        <v>492</v>
      </c>
    </row>
    <row r="539" spans="1:10" hidden="1" x14ac:dyDescent="0.25">
      <c r="A539" t="s">
        <v>102</v>
      </c>
      <c r="B539" t="s">
        <v>6</v>
      </c>
      <c r="C539" t="s">
        <v>7</v>
      </c>
      <c r="D539" t="s">
        <v>10</v>
      </c>
      <c r="E539" s="2">
        <v>43336.065370370372</v>
      </c>
      <c r="F539" t="s">
        <v>300</v>
      </c>
      <c r="G539" t="s">
        <v>461</v>
      </c>
      <c r="H539" t="s">
        <v>461</v>
      </c>
      <c r="I539" t="s">
        <v>533</v>
      </c>
      <c r="J539" t="s">
        <v>543</v>
      </c>
    </row>
    <row r="540" spans="1:10" hidden="1" x14ac:dyDescent="0.25">
      <c r="A540" t="s">
        <v>360</v>
      </c>
      <c r="B540" t="s">
        <v>6</v>
      </c>
      <c r="C540" t="s">
        <v>7</v>
      </c>
      <c r="D540" t="s">
        <v>10</v>
      </c>
      <c r="E540" s="2">
        <v>43336.065474537034</v>
      </c>
      <c r="F540" t="s">
        <v>587</v>
      </c>
      <c r="G540" t="s">
        <v>457</v>
      </c>
      <c r="H540" t="s">
        <v>459</v>
      </c>
      <c r="I540" t="s">
        <v>490</v>
      </c>
      <c r="J540" t="s">
        <v>491</v>
      </c>
    </row>
    <row r="541" spans="1:10" hidden="1" x14ac:dyDescent="0.25">
      <c r="A541" t="s">
        <v>279</v>
      </c>
      <c r="B541" t="s">
        <v>6</v>
      </c>
      <c r="C541" t="s">
        <v>7</v>
      </c>
      <c r="D541" t="s">
        <v>10</v>
      </c>
      <c r="E541" s="2">
        <v>43336.065567129626</v>
      </c>
      <c r="F541" t="s">
        <v>303</v>
      </c>
      <c r="G541" t="s">
        <v>426</v>
      </c>
      <c r="H541" t="s">
        <v>385</v>
      </c>
      <c r="I541" t="s">
        <v>498</v>
      </c>
      <c r="J541" t="s">
        <v>498</v>
      </c>
    </row>
    <row r="542" spans="1:10" hidden="1" x14ac:dyDescent="0.25">
      <c r="A542" t="s">
        <v>65</v>
      </c>
      <c r="B542" t="s">
        <v>6</v>
      </c>
      <c r="C542" t="s">
        <v>7</v>
      </c>
      <c r="D542" t="s">
        <v>10</v>
      </c>
      <c r="E542" s="2">
        <v>43336.065578703703</v>
      </c>
      <c r="F542" t="s">
        <v>299</v>
      </c>
      <c r="G542" t="s">
        <v>318</v>
      </c>
      <c r="H542" t="s">
        <v>442</v>
      </c>
      <c r="I542" t="s">
        <v>492</v>
      </c>
      <c r="J542" t="s">
        <v>546</v>
      </c>
    </row>
    <row r="543" spans="1:10" hidden="1" x14ac:dyDescent="0.25">
      <c r="A543" t="s">
        <v>144</v>
      </c>
      <c r="B543" t="s">
        <v>6</v>
      </c>
      <c r="C543" t="s">
        <v>7</v>
      </c>
      <c r="D543" t="s">
        <v>10</v>
      </c>
      <c r="E543" s="2">
        <v>43336.065601851849</v>
      </c>
      <c r="F543" t="s">
        <v>585</v>
      </c>
      <c r="G543" t="s">
        <v>318</v>
      </c>
      <c r="H543" t="s">
        <v>441</v>
      </c>
      <c r="I543" t="s">
        <v>494</v>
      </c>
      <c r="J543" t="s">
        <v>495</v>
      </c>
    </row>
    <row r="544" spans="1:10" hidden="1" x14ac:dyDescent="0.25">
      <c r="A544" t="s">
        <v>416</v>
      </c>
      <c r="B544" t="s">
        <v>6</v>
      </c>
      <c r="C544" t="s">
        <v>7</v>
      </c>
      <c r="D544" t="s">
        <v>13</v>
      </c>
      <c r="E544" s="2">
        <v>43336.065648148149</v>
      </c>
      <c r="F544" t="s">
        <v>591</v>
      </c>
      <c r="G544" t="s">
        <v>318</v>
      </c>
      <c r="H544" t="s">
        <v>435</v>
      </c>
      <c r="I544" t="s">
        <v>554</v>
      </c>
      <c r="J544" t="s">
        <v>556</v>
      </c>
    </row>
    <row r="545" spans="1:10" hidden="1" x14ac:dyDescent="0.25">
      <c r="A545" t="s">
        <v>61</v>
      </c>
      <c r="B545" t="s">
        <v>306</v>
      </c>
      <c r="C545" t="s">
        <v>306</v>
      </c>
      <c r="D545" t="s">
        <v>307</v>
      </c>
      <c r="E545" s="2">
        <v>43336.06590277778</v>
      </c>
      <c r="F545" t="s">
        <v>300</v>
      </c>
      <c r="G545" t="s">
        <v>461</v>
      </c>
      <c r="H545" t="s">
        <v>462</v>
      </c>
      <c r="I545" t="s">
        <v>533</v>
      </c>
      <c r="J545" t="s">
        <v>543</v>
      </c>
    </row>
    <row r="546" spans="1:10" hidden="1" x14ac:dyDescent="0.25">
      <c r="A546" t="s">
        <v>167</v>
      </c>
      <c r="B546" t="s">
        <v>6</v>
      </c>
      <c r="C546" t="s">
        <v>7</v>
      </c>
      <c r="D546" t="s">
        <v>10</v>
      </c>
      <c r="E546" s="2">
        <v>43336.06591435185</v>
      </c>
      <c r="F546" t="s">
        <v>298</v>
      </c>
      <c r="G546" t="s">
        <v>318</v>
      </c>
      <c r="H546" t="s">
        <v>439</v>
      </c>
      <c r="I546" t="s">
        <v>492</v>
      </c>
      <c r="J546" t="s">
        <v>493</v>
      </c>
    </row>
    <row r="547" spans="1:10" hidden="1" x14ac:dyDescent="0.25">
      <c r="A547" t="s">
        <v>182</v>
      </c>
      <c r="B547" t="s">
        <v>6</v>
      </c>
      <c r="C547" t="s">
        <v>7</v>
      </c>
      <c r="D547" t="s">
        <v>10</v>
      </c>
      <c r="E547" s="2">
        <v>43336.065972222219</v>
      </c>
      <c r="F547" t="s">
        <v>590</v>
      </c>
      <c r="G547" t="s">
        <v>428</v>
      </c>
      <c r="H547" t="s">
        <v>456</v>
      </c>
      <c r="I547" t="s">
        <v>494</v>
      </c>
      <c r="J547" t="s">
        <v>492</v>
      </c>
    </row>
    <row r="548" spans="1:10" hidden="1" x14ac:dyDescent="0.25">
      <c r="A548" t="s">
        <v>361</v>
      </c>
      <c r="B548" t="s">
        <v>306</v>
      </c>
      <c r="C548" t="s">
        <v>306</v>
      </c>
      <c r="D548" t="s">
        <v>307</v>
      </c>
      <c r="E548" s="2">
        <v>43336.066006944442</v>
      </c>
      <c r="F548" t="s">
        <v>587</v>
      </c>
      <c r="G548" t="s">
        <v>457</v>
      </c>
      <c r="H548" t="s">
        <v>460</v>
      </c>
      <c r="I548" t="s">
        <v>490</v>
      </c>
      <c r="J548" t="s">
        <v>491</v>
      </c>
    </row>
    <row r="549" spans="1:10" hidden="1" x14ac:dyDescent="0.25">
      <c r="A549" t="s">
        <v>38</v>
      </c>
      <c r="B549" t="s">
        <v>6</v>
      </c>
      <c r="C549" t="s">
        <v>7</v>
      </c>
      <c r="D549" t="s">
        <v>10</v>
      </c>
      <c r="E549" s="2">
        <v>43336.066331018519</v>
      </c>
      <c r="F549" t="s">
        <v>585</v>
      </c>
      <c r="G549" t="s">
        <v>318</v>
      </c>
      <c r="H549" t="s">
        <v>442</v>
      </c>
      <c r="I549" t="s">
        <v>494</v>
      </c>
      <c r="J549" t="s">
        <v>495</v>
      </c>
    </row>
    <row r="550" spans="1:10" hidden="1" x14ac:dyDescent="0.25">
      <c r="A550" t="s">
        <v>132</v>
      </c>
      <c r="B550" t="s">
        <v>6</v>
      </c>
      <c r="C550" t="s">
        <v>7</v>
      </c>
      <c r="D550" t="s">
        <v>10</v>
      </c>
      <c r="E550" s="2">
        <v>43336.066342592596</v>
      </c>
      <c r="F550" t="s">
        <v>303</v>
      </c>
      <c r="G550" t="s">
        <v>426</v>
      </c>
      <c r="H550" t="s">
        <v>457</v>
      </c>
      <c r="I550" t="s">
        <v>498</v>
      </c>
      <c r="J550" t="s">
        <v>498</v>
      </c>
    </row>
    <row r="551" spans="1:10" hidden="1" x14ac:dyDescent="0.25">
      <c r="A551" t="s">
        <v>64</v>
      </c>
      <c r="B551" t="s">
        <v>6</v>
      </c>
      <c r="C551" t="s">
        <v>7</v>
      </c>
      <c r="D551" t="s">
        <v>10</v>
      </c>
      <c r="E551" s="2">
        <v>43336.066388888888</v>
      </c>
      <c r="F551" t="s">
        <v>299</v>
      </c>
      <c r="G551" t="s">
        <v>318</v>
      </c>
      <c r="H551" t="s">
        <v>443</v>
      </c>
      <c r="I551" t="s">
        <v>492</v>
      </c>
      <c r="J551" t="s">
        <v>557</v>
      </c>
    </row>
    <row r="552" spans="1:10" hidden="1" x14ac:dyDescent="0.25">
      <c r="A552" t="s">
        <v>328</v>
      </c>
      <c r="B552" t="s">
        <v>6</v>
      </c>
      <c r="C552" t="s">
        <v>7</v>
      </c>
      <c r="D552" t="s">
        <v>13</v>
      </c>
      <c r="E552" s="2">
        <v>43336.066458333335</v>
      </c>
      <c r="F552" t="s">
        <v>591</v>
      </c>
      <c r="G552" t="s">
        <v>318</v>
      </c>
      <c r="H552" t="s">
        <v>436</v>
      </c>
      <c r="I552" t="s">
        <v>554</v>
      </c>
      <c r="J552" t="s">
        <v>497</v>
      </c>
    </row>
    <row r="553" spans="1:10" hidden="1" x14ac:dyDescent="0.25">
      <c r="A553" t="s">
        <v>165</v>
      </c>
      <c r="B553" t="s">
        <v>6</v>
      </c>
      <c r="C553" t="s">
        <v>7</v>
      </c>
      <c r="D553" t="s">
        <v>10</v>
      </c>
      <c r="E553" s="2">
        <v>43336.066504629627</v>
      </c>
      <c r="F553" t="s">
        <v>298</v>
      </c>
      <c r="G553" t="s">
        <v>318</v>
      </c>
      <c r="H553" t="s">
        <v>440</v>
      </c>
      <c r="I553" t="s">
        <v>492</v>
      </c>
      <c r="J553" t="s">
        <v>493</v>
      </c>
    </row>
    <row r="554" spans="1:10" hidden="1" x14ac:dyDescent="0.25">
      <c r="A554" t="s">
        <v>53</v>
      </c>
      <c r="B554" t="s">
        <v>6</v>
      </c>
      <c r="C554" t="s">
        <v>7</v>
      </c>
      <c r="D554" t="s">
        <v>10</v>
      </c>
      <c r="E554" s="2">
        <v>43336.066504629627</v>
      </c>
      <c r="F554" t="s">
        <v>300</v>
      </c>
      <c r="G554" t="s">
        <v>461</v>
      </c>
      <c r="H554" t="s">
        <v>453</v>
      </c>
      <c r="I554" t="s">
        <v>533</v>
      </c>
      <c r="J554" t="s">
        <v>543</v>
      </c>
    </row>
    <row r="555" spans="1:10" hidden="1" x14ac:dyDescent="0.25">
      <c r="A555" t="s">
        <v>17</v>
      </c>
      <c r="B555" t="s">
        <v>6</v>
      </c>
      <c r="C555" t="s">
        <v>7</v>
      </c>
      <c r="D555" t="s">
        <v>10</v>
      </c>
      <c r="E555" s="2">
        <v>43336.066793981481</v>
      </c>
      <c r="F555" t="s">
        <v>590</v>
      </c>
      <c r="G555" t="s">
        <v>428</v>
      </c>
      <c r="H555" t="s">
        <v>426</v>
      </c>
      <c r="I555" t="s">
        <v>494</v>
      </c>
      <c r="J555" t="s">
        <v>492</v>
      </c>
    </row>
    <row r="556" spans="1:10" hidden="1" x14ac:dyDescent="0.25">
      <c r="A556" t="s">
        <v>362</v>
      </c>
      <c r="B556" t="s">
        <v>6</v>
      </c>
      <c r="C556" t="s">
        <v>7</v>
      </c>
      <c r="D556" t="s">
        <v>10</v>
      </c>
      <c r="E556" s="2">
        <v>43336.066805555558</v>
      </c>
      <c r="F556" t="s">
        <v>587</v>
      </c>
      <c r="G556" t="s">
        <v>457</v>
      </c>
      <c r="H556" t="s">
        <v>461</v>
      </c>
      <c r="I556" t="s">
        <v>490</v>
      </c>
      <c r="J556" t="s">
        <v>491</v>
      </c>
    </row>
    <row r="557" spans="1:10" hidden="1" x14ac:dyDescent="0.25">
      <c r="A557" t="s">
        <v>131</v>
      </c>
      <c r="B557" t="s">
        <v>6</v>
      </c>
      <c r="C557" t="s">
        <v>7</v>
      </c>
      <c r="D557" t="s">
        <v>10</v>
      </c>
      <c r="E557" s="2">
        <v>43336.067002314812</v>
      </c>
      <c r="F557" t="s">
        <v>303</v>
      </c>
      <c r="G557" t="s">
        <v>426</v>
      </c>
      <c r="H557" t="s">
        <v>458</v>
      </c>
      <c r="I557" t="s">
        <v>498</v>
      </c>
      <c r="J557" t="s">
        <v>498</v>
      </c>
    </row>
    <row r="558" spans="1:10" hidden="1" x14ac:dyDescent="0.25">
      <c r="A558" t="s">
        <v>37</v>
      </c>
      <c r="B558" t="s">
        <v>6</v>
      </c>
      <c r="C558" t="s">
        <v>7</v>
      </c>
      <c r="D558" t="s">
        <v>10</v>
      </c>
      <c r="E558" s="2">
        <v>43336.067025462966</v>
      </c>
      <c r="F558" t="s">
        <v>585</v>
      </c>
      <c r="G558" t="s">
        <v>318</v>
      </c>
      <c r="H558" t="s">
        <v>443</v>
      </c>
      <c r="I558" t="s">
        <v>494</v>
      </c>
      <c r="J558" t="s">
        <v>495</v>
      </c>
    </row>
    <row r="559" spans="1:10" hidden="1" x14ac:dyDescent="0.25">
      <c r="A559" t="s">
        <v>405</v>
      </c>
      <c r="B559" t="s">
        <v>306</v>
      </c>
      <c r="C559" t="s">
        <v>306</v>
      </c>
      <c r="D559" t="s">
        <v>307</v>
      </c>
      <c r="E559" s="2">
        <v>43336.067025462966</v>
      </c>
      <c r="F559" t="s">
        <v>586</v>
      </c>
      <c r="G559" t="s">
        <v>318</v>
      </c>
      <c r="H559" t="s">
        <v>459</v>
      </c>
      <c r="I559" t="s">
        <v>490</v>
      </c>
      <c r="J559" t="s">
        <v>491</v>
      </c>
    </row>
    <row r="560" spans="1:10" hidden="1" x14ac:dyDescent="0.25">
      <c r="A560" t="s">
        <v>203</v>
      </c>
      <c r="B560" t="s">
        <v>6</v>
      </c>
      <c r="C560" t="s">
        <v>7</v>
      </c>
      <c r="D560" t="s">
        <v>10</v>
      </c>
      <c r="E560" s="2">
        <v>43336.067060185182</v>
      </c>
      <c r="F560" t="s">
        <v>299</v>
      </c>
      <c r="G560" t="s">
        <v>318</v>
      </c>
      <c r="H560" t="s">
        <v>444</v>
      </c>
      <c r="I560" t="s">
        <v>560</v>
      </c>
      <c r="J560" t="s">
        <v>561</v>
      </c>
    </row>
    <row r="561" spans="1:10" hidden="1" x14ac:dyDescent="0.25">
      <c r="A561" t="s">
        <v>227</v>
      </c>
      <c r="B561" t="s">
        <v>6</v>
      </c>
      <c r="C561" t="s">
        <v>7</v>
      </c>
      <c r="D561" t="s">
        <v>10</v>
      </c>
      <c r="E561" s="2">
        <v>43336.067106481481</v>
      </c>
      <c r="F561" t="s">
        <v>298</v>
      </c>
      <c r="G561" t="s">
        <v>318</v>
      </c>
      <c r="H561" t="s">
        <v>441</v>
      </c>
      <c r="I561" t="s">
        <v>492</v>
      </c>
      <c r="J561" t="s">
        <v>493</v>
      </c>
    </row>
    <row r="562" spans="1:10" hidden="1" x14ac:dyDescent="0.25">
      <c r="A562" t="s">
        <v>156</v>
      </c>
      <c r="B562" t="s">
        <v>6</v>
      </c>
      <c r="C562" t="s">
        <v>7</v>
      </c>
      <c r="D562" t="s">
        <v>10</v>
      </c>
      <c r="E562" s="2">
        <v>43336.067129629628</v>
      </c>
      <c r="F562" t="s">
        <v>300</v>
      </c>
      <c r="G562" t="s">
        <v>461</v>
      </c>
      <c r="H562" t="s">
        <v>454</v>
      </c>
      <c r="I562" t="s">
        <v>533</v>
      </c>
      <c r="J562" t="s">
        <v>543</v>
      </c>
    </row>
    <row r="563" spans="1:10" hidden="1" x14ac:dyDescent="0.25">
      <c r="A563" t="s">
        <v>401</v>
      </c>
      <c r="B563" t="s">
        <v>6</v>
      </c>
      <c r="C563" t="s">
        <v>7</v>
      </c>
      <c r="D563" t="s">
        <v>13</v>
      </c>
      <c r="E563" s="2">
        <v>43336.067210648151</v>
      </c>
      <c r="F563" t="s">
        <v>591</v>
      </c>
      <c r="G563" t="s">
        <v>318</v>
      </c>
      <c r="H563" t="s">
        <v>437</v>
      </c>
      <c r="I563" t="s">
        <v>554</v>
      </c>
      <c r="J563" t="s">
        <v>497</v>
      </c>
    </row>
    <row r="564" spans="1:10" hidden="1" x14ac:dyDescent="0.25">
      <c r="A564" t="s">
        <v>14</v>
      </c>
      <c r="B564" t="s">
        <v>6</v>
      </c>
      <c r="C564" t="s">
        <v>7</v>
      </c>
      <c r="D564" t="s">
        <v>476</v>
      </c>
      <c r="E564" s="2">
        <v>43336.067384259259</v>
      </c>
      <c r="F564" t="s">
        <v>590</v>
      </c>
      <c r="G564" t="s">
        <v>428</v>
      </c>
      <c r="H564" t="s">
        <v>427</v>
      </c>
      <c r="I564" t="s">
        <v>511</v>
      </c>
      <c r="J564" t="s">
        <v>540</v>
      </c>
    </row>
    <row r="565" spans="1:10" hidden="1" x14ac:dyDescent="0.25">
      <c r="A565" t="s">
        <v>341</v>
      </c>
      <c r="B565" t="s">
        <v>6</v>
      </c>
      <c r="C565" t="s">
        <v>7</v>
      </c>
      <c r="D565" t="s">
        <v>10</v>
      </c>
      <c r="E565" s="2">
        <v>43336.067430555559</v>
      </c>
      <c r="F565" t="s">
        <v>587</v>
      </c>
      <c r="G565" t="s">
        <v>457</v>
      </c>
      <c r="H565" t="s">
        <v>462</v>
      </c>
      <c r="I565" t="s">
        <v>490</v>
      </c>
      <c r="J565" t="s">
        <v>491</v>
      </c>
    </row>
    <row r="566" spans="1:10" hidden="1" x14ac:dyDescent="0.25">
      <c r="A566" t="s">
        <v>216</v>
      </c>
      <c r="B566" t="s">
        <v>6</v>
      </c>
      <c r="C566" t="s">
        <v>7</v>
      </c>
      <c r="D566" t="s">
        <v>10</v>
      </c>
      <c r="E566" s="2">
        <v>43336.067650462966</v>
      </c>
      <c r="F566" t="s">
        <v>585</v>
      </c>
      <c r="G566" t="s">
        <v>318</v>
      </c>
      <c r="H566" t="s">
        <v>444</v>
      </c>
      <c r="I566" t="s">
        <v>494</v>
      </c>
      <c r="J566" t="s">
        <v>495</v>
      </c>
    </row>
    <row r="567" spans="1:10" hidden="1" x14ac:dyDescent="0.25">
      <c r="A567" t="s">
        <v>121</v>
      </c>
      <c r="B567" t="s">
        <v>6</v>
      </c>
      <c r="C567" t="s">
        <v>7</v>
      </c>
      <c r="D567" t="s">
        <v>10</v>
      </c>
      <c r="E567" s="2">
        <v>43336.067708333336</v>
      </c>
      <c r="F567" t="s">
        <v>299</v>
      </c>
      <c r="G567" t="s">
        <v>318</v>
      </c>
      <c r="H567" t="s">
        <v>445</v>
      </c>
      <c r="I567" t="s">
        <v>558</v>
      </c>
      <c r="J567" t="s">
        <v>559</v>
      </c>
    </row>
    <row r="568" spans="1:10" hidden="1" x14ac:dyDescent="0.25">
      <c r="A568" t="s">
        <v>164</v>
      </c>
      <c r="B568" t="s">
        <v>6</v>
      </c>
      <c r="C568" t="s">
        <v>7</v>
      </c>
      <c r="D568" t="s">
        <v>10</v>
      </c>
      <c r="E568" s="2">
        <v>43336.067708333336</v>
      </c>
      <c r="F568" t="s">
        <v>298</v>
      </c>
      <c r="G568" t="s">
        <v>318</v>
      </c>
      <c r="H568" t="s">
        <v>442</v>
      </c>
      <c r="I568" t="s">
        <v>492</v>
      </c>
      <c r="J568" t="s">
        <v>493</v>
      </c>
    </row>
    <row r="569" spans="1:10" hidden="1" x14ac:dyDescent="0.25">
      <c r="A569" t="s">
        <v>130</v>
      </c>
      <c r="B569" t="s">
        <v>6</v>
      </c>
      <c r="C569" t="s">
        <v>7</v>
      </c>
      <c r="D569" t="s">
        <v>13</v>
      </c>
      <c r="E569" s="2">
        <v>43336.067754629628</v>
      </c>
      <c r="F569" t="s">
        <v>303</v>
      </c>
      <c r="G569" t="s">
        <v>426</v>
      </c>
      <c r="H569" t="s">
        <v>459</v>
      </c>
      <c r="I569" t="s">
        <v>494</v>
      </c>
      <c r="J569" t="s">
        <v>544</v>
      </c>
    </row>
    <row r="570" spans="1:10" hidden="1" x14ac:dyDescent="0.25">
      <c r="A570" t="s">
        <v>70</v>
      </c>
      <c r="B570" t="s">
        <v>6</v>
      </c>
      <c r="C570" t="s">
        <v>7</v>
      </c>
      <c r="D570" t="s">
        <v>27</v>
      </c>
      <c r="E570" s="2">
        <v>43336.067870370367</v>
      </c>
      <c r="F570" t="s">
        <v>300</v>
      </c>
      <c r="G570" t="s">
        <v>461</v>
      </c>
      <c r="H570" t="s">
        <v>455</v>
      </c>
      <c r="I570" t="s">
        <v>533</v>
      </c>
      <c r="J570" t="s">
        <v>543</v>
      </c>
    </row>
    <row r="571" spans="1:10" hidden="1" x14ac:dyDescent="0.25">
      <c r="A571" t="s">
        <v>380</v>
      </c>
      <c r="B571" t="s">
        <v>6</v>
      </c>
      <c r="C571" t="s">
        <v>7</v>
      </c>
      <c r="D571" t="s">
        <v>13</v>
      </c>
      <c r="E571" s="2">
        <v>43336.067939814813</v>
      </c>
      <c r="F571" t="s">
        <v>591</v>
      </c>
      <c r="G571" t="s">
        <v>318</v>
      </c>
      <c r="H571" t="s">
        <v>438</v>
      </c>
      <c r="I571" t="s">
        <v>554</v>
      </c>
      <c r="J571" t="s">
        <v>497</v>
      </c>
    </row>
    <row r="572" spans="1:10" hidden="1" x14ac:dyDescent="0.25">
      <c r="A572" t="s">
        <v>233</v>
      </c>
      <c r="B572" t="s">
        <v>6</v>
      </c>
      <c r="C572" t="s">
        <v>7</v>
      </c>
      <c r="D572" t="s">
        <v>476</v>
      </c>
      <c r="E572" s="2">
        <v>43336.067974537036</v>
      </c>
      <c r="F572" t="s">
        <v>590</v>
      </c>
      <c r="G572" t="s">
        <v>428</v>
      </c>
      <c r="H572" t="s">
        <v>428</v>
      </c>
      <c r="I572" t="s">
        <v>511</v>
      </c>
      <c r="J572" t="s">
        <v>537</v>
      </c>
    </row>
    <row r="573" spans="1:10" hidden="1" x14ac:dyDescent="0.25">
      <c r="A573" t="s">
        <v>342</v>
      </c>
      <c r="B573" t="s">
        <v>6</v>
      </c>
      <c r="C573" t="s">
        <v>7</v>
      </c>
      <c r="D573" t="s">
        <v>10</v>
      </c>
      <c r="E573" s="2">
        <v>43336.068067129629</v>
      </c>
      <c r="F573" t="s">
        <v>587</v>
      </c>
      <c r="G573" t="s">
        <v>457</v>
      </c>
      <c r="H573" t="s">
        <v>453</v>
      </c>
      <c r="I573" t="s">
        <v>490</v>
      </c>
      <c r="J573" t="s">
        <v>491</v>
      </c>
    </row>
    <row r="574" spans="1:10" hidden="1" x14ac:dyDescent="0.25">
      <c r="A574" t="s">
        <v>36</v>
      </c>
      <c r="B574" t="s">
        <v>6</v>
      </c>
      <c r="C574" t="s">
        <v>7</v>
      </c>
      <c r="D574" t="s">
        <v>10</v>
      </c>
      <c r="E574" s="2">
        <v>43336.068287037036</v>
      </c>
      <c r="F574" t="s">
        <v>585</v>
      </c>
      <c r="G574" t="s">
        <v>318</v>
      </c>
      <c r="H574" t="s">
        <v>445</v>
      </c>
      <c r="I574" t="s">
        <v>494</v>
      </c>
      <c r="J574" t="s">
        <v>495</v>
      </c>
    </row>
    <row r="575" spans="1:10" hidden="1" x14ac:dyDescent="0.25">
      <c r="A575" t="s">
        <v>168</v>
      </c>
      <c r="B575" t="s">
        <v>6</v>
      </c>
      <c r="C575" t="s">
        <v>7</v>
      </c>
      <c r="D575" t="s">
        <v>10</v>
      </c>
      <c r="E575" s="2">
        <v>43336.068310185183</v>
      </c>
      <c r="F575" t="s">
        <v>298</v>
      </c>
      <c r="G575" t="s">
        <v>318</v>
      </c>
      <c r="H575" t="s">
        <v>443</v>
      </c>
      <c r="I575" t="s">
        <v>492</v>
      </c>
      <c r="J575" t="s">
        <v>500</v>
      </c>
    </row>
    <row r="576" spans="1:10" hidden="1" x14ac:dyDescent="0.25">
      <c r="A576" t="s">
        <v>66</v>
      </c>
      <c r="B576" t="s">
        <v>6</v>
      </c>
      <c r="C576" t="s">
        <v>7</v>
      </c>
      <c r="D576" t="s">
        <v>10</v>
      </c>
      <c r="E576" s="2">
        <v>43336.068344907406</v>
      </c>
      <c r="F576" t="s">
        <v>299</v>
      </c>
      <c r="G576" t="s">
        <v>318</v>
      </c>
      <c r="H576" t="s">
        <v>446</v>
      </c>
      <c r="I576" t="s">
        <v>558</v>
      </c>
      <c r="J576" t="s">
        <v>559</v>
      </c>
    </row>
    <row r="577" spans="1:10" hidden="1" x14ac:dyDescent="0.25">
      <c r="A577" t="s">
        <v>184</v>
      </c>
      <c r="B577" t="s">
        <v>6</v>
      </c>
      <c r="C577" t="s">
        <v>7</v>
      </c>
      <c r="D577" t="s">
        <v>476</v>
      </c>
      <c r="E577" s="2">
        <v>43336.068379629629</v>
      </c>
      <c r="F577" t="s">
        <v>303</v>
      </c>
      <c r="G577" t="s">
        <v>426</v>
      </c>
      <c r="H577" t="s">
        <v>460</v>
      </c>
      <c r="I577" t="s">
        <v>494</v>
      </c>
      <c r="J577" t="s">
        <v>544</v>
      </c>
    </row>
    <row r="578" spans="1:10" hidden="1" x14ac:dyDescent="0.25">
      <c r="A578" t="s">
        <v>52</v>
      </c>
      <c r="B578" t="s">
        <v>6</v>
      </c>
      <c r="C578" t="s">
        <v>7</v>
      </c>
      <c r="D578" t="s">
        <v>10</v>
      </c>
      <c r="E578" s="2">
        <v>43336.068483796298</v>
      </c>
      <c r="F578" t="s">
        <v>300</v>
      </c>
      <c r="G578" t="s">
        <v>461</v>
      </c>
      <c r="H578" t="s">
        <v>456</v>
      </c>
      <c r="I578" t="s">
        <v>533</v>
      </c>
      <c r="J578" t="s">
        <v>543</v>
      </c>
    </row>
    <row r="579" spans="1:10" hidden="1" x14ac:dyDescent="0.25">
      <c r="A579" t="s">
        <v>12</v>
      </c>
      <c r="B579" t="s">
        <v>6</v>
      </c>
      <c r="C579" t="s">
        <v>7</v>
      </c>
      <c r="D579" t="s">
        <v>10</v>
      </c>
      <c r="E579" s="2">
        <v>43336.068611111114</v>
      </c>
      <c r="F579" t="s">
        <v>590</v>
      </c>
      <c r="G579" t="s">
        <v>428</v>
      </c>
      <c r="H579" t="s">
        <v>429</v>
      </c>
      <c r="I579" t="s">
        <v>494</v>
      </c>
      <c r="J579" t="s">
        <v>492</v>
      </c>
    </row>
    <row r="580" spans="1:10" hidden="1" x14ac:dyDescent="0.25">
      <c r="A580" t="s">
        <v>329</v>
      </c>
      <c r="B580" t="s">
        <v>6</v>
      </c>
      <c r="C580" t="s">
        <v>7</v>
      </c>
      <c r="D580" t="s">
        <v>13</v>
      </c>
      <c r="E580" s="2">
        <v>43336.068668981483</v>
      </c>
      <c r="F580" t="s">
        <v>591</v>
      </c>
      <c r="G580" t="s">
        <v>318</v>
      </c>
      <c r="H580" t="s">
        <v>439</v>
      </c>
      <c r="I580" t="s">
        <v>554</v>
      </c>
      <c r="J580" t="s">
        <v>497</v>
      </c>
    </row>
    <row r="581" spans="1:10" hidden="1" x14ac:dyDescent="0.25">
      <c r="A581" t="s">
        <v>195</v>
      </c>
      <c r="B581" t="s">
        <v>6</v>
      </c>
      <c r="C581" t="s">
        <v>7</v>
      </c>
      <c r="D581" t="s">
        <v>10</v>
      </c>
      <c r="E581" s="2">
        <v>43336.068912037037</v>
      </c>
      <c r="F581" t="s">
        <v>585</v>
      </c>
      <c r="G581" t="s">
        <v>318</v>
      </c>
      <c r="H581" t="s">
        <v>446</v>
      </c>
      <c r="I581" t="s">
        <v>494</v>
      </c>
      <c r="J581" t="s">
        <v>495</v>
      </c>
    </row>
    <row r="582" spans="1:10" hidden="1" x14ac:dyDescent="0.25">
      <c r="A582" t="s">
        <v>163</v>
      </c>
      <c r="B582" t="s">
        <v>6</v>
      </c>
      <c r="C582" t="s">
        <v>7</v>
      </c>
      <c r="D582" t="s">
        <v>10</v>
      </c>
      <c r="E582" s="2">
        <v>43336.068912037037</v>
      </c>
      <c r="F582" t="s">
        <v>298</v>
      </c>
      <c r="G582" t="s">
        <v>318</v>
      </c>
      <c r="H582" t="s">
        <v>444</v>
      </c>
      <c r="I582" t="s">
        <v>492</v>
      </c>
      <c r="J582" t="s">
        <v>493</v>
      </c>
    </row>
    <row r="583" spans="1:10" hidden="1" x14ac:dyDescent="0.25">
      <c r="A583" t="s">
        <v>317</v>
      </c>
      <c r="B583" t="s">
        <v>6</v>
      </c>
      <c r="C583" t="s">
        <v>7</v>
      </c>
      <c r="D583" t="s">
        <v>27</v>
      </c>
      <c r="E583" s="2">
        <v>43336.06894675926</v>
      </c>
      <c r="F583" t="s">
        <v>587</v>
      </c>
      <c r="G583" t="s">
        <v>457</v>
      </c>
      <c r="H583" t="s">
        <v>454</v>
      </c>
      <c r="I583" t="s">
        <v>490</v>
      </c>
      <c r="J583" t="s">
        <v>491</v>
      </c>
    </row>
    <row r="584" spans="1:10" hidden="1" x14ac:dyDescent="0.25">
      <c r="A584" t="s">
        <v>60</v>
      </c>
      <c r="B584" t="s">
        <v>6</v>
      </c>
      <c r="C584" t="s">
        <v>7</v>
      </c>
      <c r="D584" t="s">
        <v>10</v>
      </c>
      <c r="E584" s="2">
        <v>43336.068993055553</v>
      </c>
      <c r="F584" t="s">
        <v>299</v>
      </c>
      <c r="G584" t="s">
        <v>318</v>
      </c>
      <c r="H584" t="s">
        <v>447</v>
      </c>
      <c r="I584" t="s">
        <v>558</v>
      </c>
      <c r="J584" t="s">
        <v>559</v>
      </c>
    </row>
    <row r="585" spans="1:10" hidden="1" x14ac:dyDescent="0.25">
      <c r="A585" t="s">
        <v>51</v>
      </c>
      <c r="B585" t="s">
        <v>6</v>
      </c>
      <c r="C585" t="s">
        <v>7</v>
      </c>
      <c r="D585" t="s">
        <v>10</v>
      </c>
      <c r="E585" s="2">
        <v>43336.069131944445</v>
      </c>
      <c r="F585" t="s">
        <v>300</v>
      </c>
      <c r="G585" t="s">
        <v>461</v>
      </c>
      <c r="H585" t="s">
        <v>426</v>
      </c>
      <c r="I585" t="s">
        <v>533</v>
      </c>
      <c r="J585" t="s">
        <v>543</v>
      </c>
    </row>
    <row r="586" spans="1:10" hidden="1" x14ac:dyDescent="0.25">
      <c r="A586" t="s">
        <v>243</v>
      </c>
      <c r="B586" t="s">
        <v>6</v>
      </c>
      <c r="C586" t="s">
        <v>7</v>
      </c>
      <c r="D586" t="s">
        <v>13</v>
      </c>
      <c r="E586" s="2">
        <v>43336.069155092591</v>
      </c>
      <c r="F586" t="s">
        <v>303</v>
      </c>
      <c r="G586" t="s">
        <v>426</v>
      </c>
      <c r="H586" t="s">
        <v>461</v>
      </c>
      <c r="I586" t="s">
        <v>494</v>
      </c>
      <c r="J586" t="s">
        <v>544</v>
      </c>
    </row>
    <row r="587" spans="1:10" hidden="1" x14ac:dyDescent="0.25">
      <c r="A587" t="s">
        <v>11</v>
      </c>
      <c r="B587" t="s">
        <v>6</v>
      </c>
      <c r="C587" t="s">
        <v>7</v>
      </c>
      <c r="D587" t="s">
        <v>10</v>
      </c>
      <c r="E587" s="2">
        <v>43336.069236111114</v>
      </c>
      <c r="F587" t="s">
        <v>590</v>
      </c>
      <c r="G587" t="s">
        <v>428</v>
      </c>
      <c r="H587" t="s">
        <v>430</v>
      </c>
      <c r="I587" t="s">
        <v>494</v>
      </c>
      <c r="J587" t="s">
        <v>533</v>
      </c>
    </row>
    <row r="588" spans="1:10" hidden="1" x14ac:dyDescent="0.25">
      <c r="A588" t="s">
        <v>383</v>
      </c>
      <c r="B588" t="s">
        <v>6</v>
      </c>
      <c r="C588" t="s">
        <v>7</v>
      </c>
      <c r="D588" t="s">
        <v>13</v>
      </c>
      <c r="E588" s="2">
        <v>43336.069409722222</v>
      </c>
      <c r="F588" t="s">
        <v>591</v>
      </c>
      <c r="G588" t="s">
        <v>318</v>
      </c>
      <c r="H588" t="s">
        <v>440</v>
      </c>
      <c r="I588" t="s">
        <v>554</v>
      </c>
      <c r="J588" t="s">
        <v>497</v>
      </c>
    </row>
    <row r="589" spans="1:10" hidden="1" x14ac:dyDescent="0.25">
      <c r="A589" t="s">
        <v>218</v>
      </c>
      <c r="B589" t="s">
        <v>6</v>
      </c>
      <c r="C589" t="s">
        <v>7</v>
      </c>
      <c r="D589" t="s">
        <v>10</v>
      </c>
      <c r="E589" s="2">
        <v>43336.069513888891</v>
      </c>
      <c r="F589" t="s">
        <v>298</v>
      </c>
      <c r="G589" t="s">
        <v>318</v>
      </c>
      <c r="H589" t="s">
        <v>445</v>
      </c>
      <c r="I589" t="s">
        <v>492</v>
      </c>
      <c r="J589" t="s">
        <v>493</v>
      </c>
    </row>
    <row r="590" spans="1:10" hidden="1" x14ac:dyDescent="0.25">
      <c r="A590" t="s">
        <v>35</v>
      </c>
      <c r="B590" t="s">
        <v>6</v>
      </c>
      <c r="C590" t="s">
        <v>7</v>
      </c>
      <c r="D590" t="s">
        <v>10</v>
      </c>
      <c r="E590" s="2">
        <v>43336.069548611114</v>
      </c>
      <c r="F590" t="s">
        <v>585</v>
      </c>
      <c r="G590" t="s">
        <v>318</v>
      </c>
      <c r="H590" t="s">
        <v>447</v>
      </c>
      <c r="I590" t="s">
        <v>494</v>
      </c>
      <c r="J590" t="s">
        <v>495</v>
      </c>
    </row>
    <row r="591" spans="1:10" hidden="1" x14ac:dyDescent="0.25">
      <c r="A591" t="s">
        <v>370</v>
      </c>
      <c r="B591" t="s">
        <v>6</v>
      </c>
      <c r="C591" t="s">
        <v>7</v>
      </c>
      <c r="D591" t="s">
        <v>10</v>
      </c>
      <c r="E591" s="2">
        <v>43336.069548611114</v>
      </c>
      <c r="F591" t="s">
        <v>587</v>
      </c>
      <c r="G591" t="s">
        <v>457</v>
      </c>
      <c r="H591" t="s">
        <v>455</v>
      </c>
      <c r="I591" t="s">
        <v>490</v>
      </c>
      <c r="J591" t="s">
        <v>491</v>
      </c>
    </row>
    <row r="592" spans="1:10" hidden="1" x14ac:dyDescent="0.25">
      <c r="A592" t="s">
        <v>59</v>
      </c>
      <c r="B592" t="s">
        <v>6</v>
      </c>
      <c r="C592" t="s">
        <v>7</v>
      </c>
      <c r="D592" t="s">
        <v>10</v>
      </c>
      <c r="E592" s="2">
        <v>43336.069652777776</v>
      </c>
      <c r="F592" t="s">
        <v>299</v>
      </c>
      <c r="G592" t="s">
        <v>318</v>
      </c>
      <c r="H592" t="s">
        <v>448</v>
      </c>
      <c r="I592" t="s">
        <v>558</v>
      </c>
      <c r="J592" t="s">
        <v>559</v>
      </c>
    </row>
    <row r="593" spans="1:10" hidden="1" x14ac:dyDescent="0.25">
      <c r="A593" t="s">
        <v>90</v>
      </c>
      <c r="B593" t="s">
        <v>6</v>
      </c>
      <c r="C593" t="s">
        <v>7</v>
      </c>
      <c r="D593" t="s">
        <v>10</v>
      </c>
      <c r="E593" s="2">
        <v>43336.069768518515</v>
      </c>
      <c r="F593" t="s">
        <v>300</v>
      </c>
      <c r="G593" t="s">
        <v>461</v>
      </c>
      <c r="H593" t="s">
        <v>427</v>
      </c>
      <c r="I593" t="s">
        <v>533</v>
      </c>
      <c r="J593" t="s">
        <v>543</v>
      </c>
    </row>
    <row r="594" spans="1:10" hidden="1" x14ac:dyDescent="0.25">
      <c r="A594" t="s">
        <v>129</v>
      </c>
      <c r="B594" t="s">
        <v>6</v>
      </c>
      <c r="C594" t="s">
        <v>7</v>
      </c>
      <c r="D594" t="s">
        <v>476</v>
      </c>
      <c r="E594" s="2">
        <v>43336.069780092592</v>
      </c>
      <c r="F594" t="s">
        <v>303</v>
      </c>
      <c r="G594" t="s">
        <v>426</v>
      </c>
      <c r="H594" t="s">
        <v>462</v>
      </c>
      <c r="I594" t="s">
        <v>494</v>
      </c>
      <c r="J594" t="s">
        <v>544</v>
      </c>
    </row>
    <row r="595" spans="1:10" hidden="1" x14ac:dyDescent="0.25">
      <c r="A595" t="s">
        <v>9</v>
      </c>
      <c r="B595" t="s">
        <v>6</v>
      </c>
      <c r="C595" t="s">
        <v>7</v>
      </c>
      <c r="D595" t="s">
        <v>476</v>
      </c>
      <c r="E595" s="2">
        <v>43336.069837962961</v>
      </c>
      <c r="F595" t="s">
        <v>590</v>
      </c>
      <c r="G595" t="s">
        <v>428</v>
      </c>
      <c r="H595" t="s">
        <v>431</v>
      </c>
      <c r="I595" t="s">
        <v>494</v>
      </c>
      <c r="J595" t="s">
        <v>533</v>
      </c>
    </row>
    <row r="596" spans="1:10" hidden="1" x14ac:dyDescent="0.25">
      <c r="A596" t="s">
        <v>321</v>
      </c>
      <c r="B596" t="s">
        <v>6</v>
      </c>
      <c r="C596" t="s">
        <v>7</v>
      </c>
      <c r="D596" t="s">
        <v>476</v>
      </c>
      <c r="E596" s="2">
        <v>43336.070034722223</v>
      </c>
      <c r="F596" t="s">
        <v>591</v>
      </c>
      <c r="G596" t="s">
        <v>318</v>
      </c>
      <c r="H596" t="s">
        <v>441</v>
      </c>
      <c r="I596" t="s">
        <v>554</v>
      </c>
      <c r="J596" t="s">
        <v>497</v>
      </c>
    </row>
    <row r="597" spans="1:10" hidden="1" x14ac:dyDescent="0.25">
      <c r="A597" t="s">
        <v>162</v>
      </c>
      <c r="B597" t="s">
        <v>6</v>
      </c>
      <c r="C597" t="s">
        <v>7</v>
      </c>
      <c r="D597" t="s">
        <v>10</v>
      </c>
      <c r="E597" s="2">
        <v>43336.070127314815</v>
      </c>
      <c r="F597" t="s">
        <v>298</v>
      </c>
      <c r="G597" t="s">
        <v>318</v>
      </c>
      <c r="H597" t="s">
        <v>446</v>
      </c>
      <c r="I597" t="s">
        <v>492</v>
      </c>
      <c r="J597" t="s">
        <v>493</v>
      </c>
    </row>
    <row r="598" spans="1:10" hidden="1" x14ac:dyDescent="0.25">
      <c r="A598" t="s">
        <v>367</v>
      </c>
      <c r="B598" t="s">
        <v>6</v>
      </c>
      <c r="C598" t="s">
        <v>7</v>
      </c>
      <c r="D598" t="s">
        <v>10</v>
      </c>
      <c r="E598" s="2">
        <v>43336.070162037038</v>
      </c>
      <c r="F598" t="s">
        <v>587</v>
      </c>
      <c r="G598" t="s">
        <v>457</v>
      </c>
      <c r="H598" t="s">
        <v>456</v>
      </c>
      <c r="I598" t="s">
        <v>490</v>
      </c>
      <c r="J598" t="s">
        <v>491</v>
      </c>
    </row>
    <row r="599" spans="1:10" hidden="1" x14ac:dyDescent="0.25">
      <c r="A599" t="s">
        <v>34</v>
      </c>
      <c r="B599" t="s">
        <v>6</v>
      </c>
      <c r="C599" t="s">
        <v>7</v>
      </c>
      <c r="D599" t="s">
        <v>10</v>
      </c>
      <c r="E599" s="2">
        <v>43336.070173611108</v>
      </c>
      <c r="F599" t="s">
        <v>585</v>
      </c>
      <c r="G599" t="s">
        <v>318</v>
      </c>
      <c r="H599" t="s">
        <v>448</v>
      </c>
      <c r="I599" t="s">
        <v>494</v>
      </c>
      <c r="J599" t="s">
        <v>495</v>
      </c>
    </row>
    <row r="600" spans="1:10" hidden="1" x14ac:dyDescent="0.25">
      <c r="A600" t="s">
        <v>57</v>
      </c>
      <c r="B600" t="s">
        <v>6</v>
      </c>
      <c r="C600" t="s">
        <v>7</v>
      </c>
      <c r="D600" t="s">
        <v>10</v>
      </c>
      <c r="E600" s="2">
        <v>43336.070289351854</v>
      </c>
      <c r="F600" t="s">
        <v>299</v>
      </c>
      <c r="G600" t="s">
        <v>318</v>
      </c>
      <c r="H600" t="s">
        <v>449</v>
      </c>
      <c r="I600" t="s">
        <v>558</v>
      </c>
      <c r="J600" t="s">
        <v>559</v>
      </c>
    </row>
    <row r="601" spans="1:10" hidden="1" x14ac:dyDescent="0.25">
      <c r="A601" t="s">
        <v>106</v>
      </c>
      <c r="B601" t="s">
        <v>6</v>
      </c>
      <c r="C601" t="s">
        <v>7</v>
      </c>
      <c r="D601" t="s">
        <v>10</v>
      </c>
      <c r="E601" s="2">
        <v>43336.070405092592</v>
      </c>
      <c r="F601" t="s">
        <v>300</v>
      </c>
      <c r="G601" t="s">
        <v>461</v>
      </c>
      <c r="H601" t="s">
        <v>428</v>
      </c>
      <c r="I601" t="s">
        <v>533</v>
      </c>
      <c r="J601" t="s">
        <v>543</v>
      </c>
    </row>
    <row r="602" spans="1:10" hidden="1" x14ac:dyDescent="0.25">
      <c r="A602" t="s">
        <v>136</v>
      </c>
      <c r="B602" t="s">
        <v>6</v>
      </c>
      <c r="C602" t="s">
        <v>7</v>
      </c>
      <c r="D602" t="s">
        <v>13</v>
      </c>
      <c r="E602" s="2">
        <v>43336.070555555554</v>
      </c>
      <c r="F602" t="s">
        <v>303</v>
      </c>
      <c r="G602" t="s">
        <v>426</v>
      </c>
      <c r="H602" t="s">
        <v>453</v>
      </c>
      <c r="I602" t="s">
        <v>494</v>
      </c>
      <c r="J602" t="s">
        <v>544</v>
      </c>
    </row>
    <row r="603" spans="1:10" hidden="1" x14ac:dyDescent="0.25">
      <c r="A603" t="s">
        <v>5</v>
      </c>
      <c r="B603" t="s">
        <v>6</v>
      </c>
      <c r="C603" t="s">
        <v>7</v>
      </c>
      <c r="D603" t="s">
        <v>13</v>
      </c>
      <c r="E603" s="2">
        <v>43336.070601851854</v>
      </c>
      <c r="F603" t="s">
        <v>590</v>
      </c>
      <c r="G603" t="s">
        <v>428</v>
      </c>
      <c r="H603" t="s">
        <v>432</v>
      </c>
      <c r="I603" t="s">
        <v>513</v>
      </c>
      <c r="J603" t="s">
        <v>513</v>
      </c>
    </row>
    <row r="604" spans="1:10" hidden="1" x14ac:dyDescent="0.25">
      <c r="A604" t="s">
        <v>221</v>
      </c>
      <c r="B604" t="s">
        <v>6</v>
      </c>
      <c r="C604" t="s">
        <v>7</v>
      </c>
      <c r="D604" t="s">
        <v>10</v>
      </c>
      <c r="E604" s="2">
        <v>43336.070763888885</v>
      </c>
      <c r="F604" t="s">
        <v>298</v>
      </c>
      <c r="G604" t="s">
        <v>318</v>
      </c>
      <c r="H604" t="s">
        <v>447</v>
      </c>
      <c r="I604" t="s">
        <v>492</v>
      </c>
      <c r="J604" t="s">
        <v>493</v>
      </c>
    </row>
    <row r="605" spans="1:10" hidden="1" x14ac:dyDescent="0.25">
      <c r="A605" t="s">
        <v>356</v>
      </c>
      <c r="B605" t="s">
        <v>6</v>
      </c>
      <c r="C605" t="s">
        <v>7</v>
      </c>
      <c r="D605" t="s">
        <v>13</v>
      </c>
      <c r="E605" s="2">
        <v>43336.070775462962</v>
      </c>
      <c r="F605" t="s">
        <v>591</v>
      </c>
      <c r="G605" t="s">
        <v>318</v>
      </c>
      <c r="H605" t="s">
        <v>442</v>
      </c>
      <c r="I605" t="s">
        <v>554</v>
      </c>
      <c r="J605" t="s">
        <v>497</v>
      </c>
    </row>
    <row r="606" spans="1:10" hidden="1" x14ac:dyDescent="0.25">
      <c r="A606" t="s">
        <v>368</v>
      </c>
      <c r="B606" t="s">
        <v>6</v>
      </c>
      <c r="C606" t="s">
        <v>7</v>
      </c>
      <c r="D606" t="s">
        <v>10</v>
      </c>
      <c r="E606" s="2">
        <v>43336.070787037039</v>
      </c>
      <c r="F606" t="s">
        <v>587</v>
      </c>
      <c r="G606" t="s">
        <v>457</v>
      </c>
      <c r="H606" t="s">
        <v>426</v>
      </c>
      <c r="I606" t="s">
        <v>490</v>
      </c>
      <c r="J606" t="s">
        <v>491</v>
      </c>
    </row>
    <row r="607" spans="1:10" hidden="1" x14ac:dyDescent="0.25">
      <c r="A607" t="s">
        <v>33</v>
      </c>
      <c r="B607" t="s">
        <v>6</v>
      </c>
      <c r="C607" t="s">
        <v>7</v>
      </c>
      <c r="D607" t="s">
        <v>10</v>
      </c>
      <c r="E607" s="2">
        <v>43336.070810185185</v>
      </c>
      <c r="F607" t="s">
        <v>585</v>
      </c>
      <c r="G607" t="s">
        <v>318</v>
      </c>
      <c r="H607" t="s">
        <v>449</v>
      </c>
      <c r="I607" t="s">
        <v>494</v>
      </c>
      <c r="J607" t="s">
        <v>495</v>
      </c>
    </row>
    <row r="608" spans="1:10" hidden="1" x14ac:dyDescent="0.25">
      <c r="A608" t="s">
        <v>154</v>
      </c>
      <c r="B608" t="s">
        <v>6</v>
      </c>
      <c r="C608" t="s">
        <v>7</v>
      </c>
      <c r="D608" t="s">
        <v>10</v>
      </c>
      <c r="E608" s="2">
        <v>43336.070937500001</v>
      </c>
      <c r="F608" t="s">
        <v>299</v>
      </c>
      <c r="G608" t="s">
        <v>318</v>
      </c>
      <c r="H608" t="s">
        <v>450</v>
      </c>
      <c r="I608" t="s">
        <v>558</v>
      </c>
      <c r="J608" t="s">
        <v>559</v>
      </c>
    </row>
    <row r="609" spans="1:10" hidden="1" x14ac:dyDescent="0.25">
      <c r="A609" t="s">
        <v>50</v>
      </c>
      <c r="B609" t="s">
        <v>6</v>
      </c>
      <c r="C609" t="s">
        <v>7</v>
      </c>
      <c r="D609" t="s">
        <v>10</v>
      </c>
      <c r="E609" s="2">
        <v>43336.071030092593</v>
      </c>
      <c r="F609" t="s">
        <v>300</v>
      </c>
      <c r="G609" t="s">
        <v>461</v>
      </c>
      <c r="H609" t="s">
        <v>429</v>
      </c>
      <c r="I609" t="s">
        <v>533</v>
      </c>
      <c r="J609" t="s">
        <v>543</v>
      </c>
    </row>
    <row r="610" spans="1:10" hidden="1" x14ac:dyDescent="0.25">
      <c r="A610" t="s">
        <v>406</v>
      </c>
      <c r="B610" t="s">
        <v>306</v>
      </c>
      <c r="C610" t="s">
        <v>306</v>
      </c>
      <c r="D610" t="s">
        <v>307</v>
      </c>
      <c r="E610" s="2">
        <v>43336.071203703701</v>
      </c>
      <c r="F610" t="s">
        <v>586</v>
      </c>
      <c r="G610" t="s">
        <v>318</v>
      </c>
      <c r="H610" t="s">
        <v>460</v>
      </c>
      <c r="I610" t="s">
        <v>490</v>
      </c>
      <c r="J610" t="s">
        <v>491</v>
      </c>
    </row>
    <row r="611" spans="1:10" hidden="1" x14ac:dyDescent="0.25">
      <c r="A611" t="s">
        <v>280</v>
      </c>
      <c r="B611" t="s">
        <v>6</v>
      </c>
      <c r="C611" t="s">
        <v>7</v>
      </c>
      <c r="D611" t="s">
        <v>13</v>
      </c>
      <c r="E611" s="2">
        <v>43336.071331018517</v>
      </c>
      <c r="F611" t="s">
        <v>303</v>
      </c>
      <c r="G611" t="s">
        <v>426</v>
      </c>
      <c r="H611" t="s">
        <v>454</v>
      </c>
      <c r="I611" t="s">
        <v>494</v>
      </c>
      <c r="J611" t="s">
        <v>544</v>
      </c>
    </row>
    <row r="612" spans="1:10" hidden="1" x14ac:dyDescent="0.25">
      <c r="A612" t="s">
        <v>283</v>
      </c>
      <c r="B612" t="s">
        <v>6</v>
      </c>
      <c r="C612" t="s">
        <v>7</v>
      </c>
      <c r="D612" t="s">
        <v>13</v>
      </c>
      <c r="E612" s="2">
        <v>43336.07135416667</v>
      </c>
      <c r="F612" t="s">
        <v>590</v>
      </c>
      <c r="G612" t="s">
        <v>428</v>
      </c>
      <c r="H612" t="s">
        <v>433</v>
      </c>
      <c r="I612" t="s">
        <v>513</v>
      </c>
      <c r="J612" t="s">
        <v>513</v>
      </c>
    </row>
    <row r="613" spans="1:10" hidden="1" x14ac:dyDescent="0.25">
      <c r="A613" t="s">
        <v>114</v>
      </c>
      <c r="B613" t="s">
        <v>6</v>
      </c>
      <c r="C613" t="s">
        <v>7</v>
      </c>
      <c r="D613" t="s">
        <v>10</v>
      </c>
      <c r="E613" s="2">
        <v>43336.07136574074</v>
      </c>
      <c r="F613" t="s">
        <v>298</v>
      </c>
      <c r="G613" t="s">
        <v>318</v>
      </c>
      <c r="H613" t="s">
        <v>448</v>
      </c>
      <c r="I613" t="s">
        <v>492</v>
      </c>
      <c r="J613" t="s">
        <v>493</v>
      </c>
    </row>
    <row r="614" spans="1:10" hidden="1" x14ac:dyDescent="0.25">
      <c r="A614" t="s">
        <v>371</v>
      </c>
      <c r="B614" t="s">
        <v>6</v>
      </c>
      <c r="C614" t="s">
        <v>7</v>
      </c>
      <c r="D614" t="s">
        <v>10</v>
      </c>
      <c r="E614" s="2">
        <v>43336.071412037039</v>
      </c>
      <c r="F614" t="s">
        <v>587</v>
      </c>
      <c r="G614" t="s">
        <v>457</v>
      </c>
      <c r="H614" t="s">
        <v>427</v>
      </c>
      <c r="I614" t="s">
        <v>490</v>
      </c>
      <c r="J614" t="s">
        <v>491</v>
      </c>
    </row>
    <row r="615" spans="1:10" hidden="1" x14ac:dyDescent="0.25">
      <c r="A615" t="s">
        <v>32</v>
      </c>
      <c r="B615" t="s">
        <v>6</v>
      </c>
      <c r="C615" t="s">
        <v>7</v>
      </c>
      <c r="D615" t="s">
        <v>10</v>
      </c>
      <c r="E615" s="2">
        <v>43336.071446759262</v>
      </c>
      <c r="F615" t="s">
        <v>585</v>
      </c>
      <c r="G615" t="s">
        <v>318</v>
      </c>
      <c r="H615" t="s">
        <v>450</v>
      </c>
      <c r="I615" t="s">
        <v>494</v>
      </c>
      <c r="J615" t="s">
        <v>495</v>
      </c>
    </row>
    <row r="616" spans="1:10" hidden="1" x14ac:dyDescent="0.25">
      <c r="A616" t="s">
        <v>425</v>
      </c>
      <c r="B616" t="s">
        <v>6</v>
      </c>
      <c r="C616" t="s">
        <v>7</v>
      </c>
      <c r="D616" t="s">
        <v>13</v>
      </c>
      <c r="E616" s="2">
        <v>43336.071527777778</v>
      </c>
      <c r="F616" t="s">
        <v>591</v>
      </c>
      <c r="G616" t="s">
        <v>318</v>
      </c>
      <c r="H616" t="s">
        <v>443</v>
      </c>
      <c r="I616" t="s">
        <v>554</v>
      </c>
      <c r="J616" t="s">
        <v>497</v>
      </c>
    </row>
    <row r="617" spans="1:10" hidden="1" x14ac:dyDescent="0.25">
      <c r="A617" t="s">
        <v>56</v>
      </c>
      <c r="B617" t="s">
        <v>6</v>
      </c>
      <c r="C617" t="s">
        <v>7</v>
      </c>
      <c r="D617" t="s">
        <v>10</v>
      </c>
      <c r="E617" s="2">
        <v>43336.071585648147</v>
      </c>
      <c r="F617" t="s">
        <v>299</v>
      </c>
      <c r="G617" t="s">
        <v>318</v>
      </c>
      <c r="H617" t="s">
        <v>451</v>
      </c>
      <c r="I617" t="s">
        <v>558</v>
      </c>
      <c r="J617" t="s">
        <v>559</v>
      </c>
    </row>
    <row r="618" spans="1:10" hidden="1" x14ac:dyDescent="0.25">
      <c r="A618" t="s">
        <v>49</v>
      </c>
      <c r="B618" t="s">
        <v>6</v>
      </c>
      <c r="C618" t="s">
        <v>7</v>
      </c>
      <c r="D618" t="s">
        <v>10</v>
      </c>
      <c r="E618" s="2">
        <v>43336.071666666663</v>
      </c>
      <c r="F618" t="s">
        <v>300</v>
      </c>
      <c r="G618" t="s">
        <v>461</v>
      </c>
      <c r="H618" t="s">
        <v>430</v>
      </c>
      <c r="I618" t="s">
        <v>533</v>
      </c>
      <c r="J618" t="s">
        <v>543</v>
      </c>
    </row>
    <row r="619" spans="1:10" hidden="1" x14ac:dyDescent="0.25">
      <c r="A619" t="s">
        <v>158</v>
      </c>
      <c r="B619" t="s">
        <v>6</v>
      </c>
      <c r="C619" t="s">
        <v>7</v>
      </c>
      <c r="D619" t="s">
        <v>10</v>
      </c>
      <c r="E619" s="2">
        <v>43336.07199074074</v>
      </c>
      <c r="F619" t="s">
        <v>298</v>
      </c>
      <c r="G619" t="s">
        <v>318</v>
      </c>
      <c r="H619" t="s">
        <v>449</v>
      </c>
      <c r="I619" t="s">
        <v>492</v>
      </c>
      <c r="J619" t="s">
        <v>493</v>
      </c>
    </row>
    <row r="620" spans="1:10" hidden="1" x14ac:dyDescent="0.25">
      <c r="A620" t="s">
        <v>372</v>
      </c>
      <c r="B620" t="s">
        <v>6</v>
      </c>
      <c r="C620" t="s">
        <v>7</v>
      </c>
      <c r="D620" t="s">
        <v>10</v>
      </c>
      <c r="E620" s="2">
        <v>43336.07203703704</v>
      </c>
      <c r="F620" t="s">
        <v>587</v>
      </c>
      <c r="G620" t="s">
        <v>457</v>
      </c>
      <c r="H620" t="s">
        <v>428</v>
      </c>
      <c r="I620" t="s">
        <v>490</v>
      </c>
      <c r="J620" t="s">
        <v>491</v>
      </c>
    </row>
    <row r="621" spans="1:10" hidden="1" x14ac:dyDescent="0.25">
      <c r="A621" t="s">
        <v>296</v>
      </c>
      <c r="B621" t="s">
        <v>6</v>
      </c>
      <c r="C621" t="s">
        <v>7</v>
      </c>
      <c r="D621" t="s">
        <v>10</v>
      </c>
      <c r="E621" s="2">
        <v>43336.072083333333</v>
      </c>
      <c r="F621" t="s">
        <v>585</v>
      </c>
      <c r="G621" t="s">
        <v>318</v>
      </c>
      <c r="H621" t="s">
        <v>451</v>
      </c>
      <c r="I621" t="s">
        <v>494</v>
      </c>
      <c r="J621" t="s">
        <v>495</v>
      </c>
    </row>
    <row r="622" spans="1:10" hidden="1" x14ac:dyDescent="0.25">
      <c r="A622" t="s">
        <v>128</v>
      </c>
      <c r="B622" t="s">
        <v>6</v>
      </c>
      <c r="C622" t="s">
        <v>7</v>
      </c>
      <c r="D622" t="s">
        <v>13</v>
      </c>
      <c r="E622" s="2">
        <v>43336.072094907409</v>
      </c>
      <c r="F622" t="s">
        <v>303</v>
      </c>
      <c r="G622" t="s">
        <v>426</v>
      </c>
      <c r="H622" t="s">
        <v>455</v>
      </c>
      <c r="I622" t="s">
        <v>494</v>
      </c>
      <c r="J622" t="s">
        <v>544</v>
      </c>
    </row>
    <row r="623" spans="1:10" hidden="1" x14ac:dyDescent="0.25">
      <c r="A623" t="s">
        <v>86</v>
      </c>
      <c r="B623" t="s">
        <v>6</v>
      </c>
      <c r="C623" t="s">
        <v>7</v>
      </c>
      <c r="D623" t="s">
        <v>13</v>
      </c>
      <c r="E623" s="2">
        <v>43336.072118055556</v>
      </c>
      <c r="F623" t="s">
        <v>590</v>
      </c>
      <c r="G623" t="s">
        <v>428</v>
      </c>
      <c r="H623" t="s">
        <v>434</v>
      </c>
      <c r="I623" t="s">
        <v>513</v>
      </c>
      <c r="J623" t="s">
        <v>513</v>
      </c>
    </row>
    <row r="624" spans="1:10" hidden="1" x14ac:dyDescent="0.25">
      <c r="A624" t="s">
        <v>78</v>
      </c>
      <c r="B624" t="s">
        <v>6</v>
      </c>
      <c r="C624" t="s">
        <v>7</v>
      </c>
      <c r="D624" t="s">
        <v>10</v>
      </c>
      <c r="E624" s="2">
        <v>43336.072245370371</v>
      </c>
      <c r="F624" t="s">
        <v>299</v>
      </c>
      <c r="G624" t="s">
        <v>318</v>
      </c>
      <c r="H624" t="s">
        <v>452</v>
      </c>
      <c r="I624" t="s">
        <v>558</v>
      </c>
      <c r="J624" t="s">
        <v>559</v>
      </c>
    </row>
    <row r="625" spans="1:10" hidden="1" x14ac:dyDescent="0.25">
      <c r="A625" t="s">
        <v>330</v>
      </c>
      <c r="B625" t="s">
        <v>6</v>
      </c>
      <c r="C625" t="s">
        <v>7</v>
      </c>
      <c r="D625" t="s">
        <v>13</v>
      </c>
      <c r="E625" s="2">
        <v>43336.072268518517</v>
      </c>
      <c r="F625" t="s">
        <v>591</v>
      </c>
      <c r="G625" t="s">
        <v>318</v>
      </c>
      <c r="H625" t="s">
        <v>444</v>
      </c>
      <c r="I625" t="s">
        <v>554</v>
      </c>
      <c r="J625" t="s">
        <v>497</v>
      </c>
    </row>
    <row r="626" spans="1:10" hidden="1" x14ac:dyDescent="0.25">
      <c r="A626" t="s">
        <v>16</v>
      </c>
      <c r="B626" t="s">
        <v>6</v>
      </c>
      <c r="C626" t="s">
        <v>7</v>
      </c>
      <c r="D626" t="s">
        <v>10</v>
      </c>
      <c r="E626" s="2">
        <v>43336.072581018518</v>
      </c>
      <c r="F626" t="s">
        <v>298</v>
      </c>
      <c r="G626" t="s">
        <v>318</v>
      </c>
      <c r="H626" t="s">
        <v>450</v>
      </c>
      <c r="I626" t="s">
        <v>492</v>
      </c>
      <c r="J626" t="s">
        <v>493</v>
      </c>
    </row>
    <row r="627" spans="1:10" hidden="1" x14ac:dyDescent="0.25">
      <c r="A627" t="s">
        <v>373</v>
      </c>
      <c r="B627" t="s">
        <v>6</v>
      </c>
      <c r="C627" t="s">
        <v>7</v>
      </c>
      <c r="D627" t="s">
        <v>10</v>
      </c>
      <c r="E627" s="2">
        <v>43336.072638888887</v>
      </c>
      <c r="F627" t="s">
        <v>587</v>
      </c>
      <c r="G627" t="s">
        <v>457</v>
      </c>
      <c r="H627" t="s">
        <v>429</v>
      </c>
      <c r="I627" t="s">
        <v>563</v>
      </c>
      <c r="J627" t="s">
        <v>491</v>
      </c>
    </row>
    <row r="628" spans="1:10" hidden="1" x14ac:dyDescent="0.25">
      <c r="A628" t="s">
        <v>31</v>
      </c>
      <c r="B628" t="s">
        <v>6</v>
      </c>
      <c r="C628" t="s">
        <v>7</v>
      </c>
      <c r="D628" t="s">
        <v>10</v>
      </c>
      <c r="E628" s="2">
        <v>43336.072696759256</v>
      </c>
      <c r="F628" t="s">
        <v>585</v>
      </c>
      <c r="G628" t="s">
        <v>318</v>
      </c>
      <c r="H628" t="s">
        <v>452</v>
      </c>
      <c r="I628" t="s">
        <v>494</v>
      </c>
      <c r="J628" t="s">
        <v>495</v>
      </c>
    </row>
    <row r="629" spans="1:10" hidden="1" x14ac:dyDescent="0.25">
      <c r="A629" t="s">
        <v>126</v>
      </c>
      <c r="B629" t="s">
        <v>6</v>
      </c>
      <c r="C629" t="s">
        <v>7</v>
      </c>
      <c r="D629" t="s">
        <v>13</v>
      </c>
      <c r="E629" s="2">
        <v>43336.072870370372</v>
      </c>
      <c r="F629" t="s">
        <v>303</v>
      </c>
      <c r="G629" t="s">
        <v>426</v>
      </c>
      <c r="H629" t="s">
        <v>456</v>
      </c>
      <c r="I629" t="s">
        <v>494</v>
      </c>
      <c r="J629" t="s">
        <v>544</v>
      </c>
    </row>
    <row r="630" spans="1:10" hidden="1" x14ac:dyDescent="0.25">
      <c r="A630" t="s">
        <v>116</v>
      </c>
      <c r="B630" t="s">
        <v>6</v>
      </c>
      <c r="C630" t="s">
        <v>7</v>
      </c>
      <c r="D630" t="s">
        <v>13</v>
      </c>
      <c r="E630" s="2">
        <v>43336.072870370372</v>
      </c>
      <c r="F630" t="s">
        <v>590</v>
      </c>
      <c r="G630" t="s">
        <v>428</v>
      </c>
      <c r="H630" t="s">
        <v>435</v>
      </c>
      <c r="I630" t="s">
        <v>513</v>
      </c>
      <c r="J630" t="s">
        <v>513</v>
      </c>
    </row>
    <row r="631" spans="1:10" hidden="1" x14ac:dyDescent="0.25">
      <c r="A631" t="s">
        <v>422</v>
      </c>
      <c r="B631" t="s">
        <v>6</v>
      </c>
      <c r="C631" t="s">
        <v>7</v>
      </c>
      <c r="D631" t="s">
        <v>13</v>
      </c>
      <c r="E631" s="2">
        <v>43336.073020833333</v>
      </c>
      <c r="F631" t="s">
        <v>591</v>
      </c>
      <c r="G631" t="s">
        <v>318</v>
      </c>
      <c r="H631" t="s">
        <v>445</v>
      </c>
      <c r="I631" t="s">
        <v>554</v>
      </c>
      <c r="J631" t="s">
        <v>497</v>
      </c>
    </row>
    <row r="632" spans="1:10" hidden="1" x14ac:dyDescent="0.25">
      <c r="A632" t="s">
        <v>113</v>
      </c>
      <c r="B632" t="s">
        <v>6</v>
      </c>
      <c r="C632" t="s">
        <v>7</v>
      </c>
      <c r="D632" t="s">
        <v>10</v>
      </c>
      <c r="E632" s="2">
        <v>43336.073182870372</v>
      </c>
      <c r="F632" t="s">
        <v>298</v>
      </c>
      <c r="G632" t="s">
        <v>318</v>
      </c>
      <c r="H632" t="s">
        <v>451</v>
      </c>
      <c r="I632" t="s">
        <v>492</v>
      </c>
      <c r="J632" t="s">
        <v>493</v>
      </c>
    </row>
    <row r="633" spans="1:10" hidden="1" x14ac:dyDescent="0.25">
      <c r="A633" t="s">
        <v>374</v>
      </c>
      <c r="B633" t="s">
        <v>6</v>
      </c>
      <c r="C633" t="s">
        <v>7</v>
      </c>
      <c r="D633" t="s">
        <v>10</v>
      </c>
      <c r="E633" s="2">
        <v>43336.073275462964</v>
      </c>
      <c r="F633" t="s">
        <v>587</v>
      </c>
      <c r="G633" t="s">
        <v>457</v>
      </c>
      <c r="H633" t="s">
        <v>430</v>
      </c>
      <c r="I633" t="s">
        <v>564</v>
      </c>
      <c r="J633" t="s">
        <v>491</v>
      </c>
    </row>
    <row r="634" spans="1:10" hidden="1" x14ac:dyDescent="0.25">
      <c r="A634" t="s">
        <v>85</v>
      </c>
      <c r="B634" t="s">
        <v>6</v>
      </c>
      <c r="C634" t="s">
        <v>7</v>
      </c>
      <c r="D634" t="s">
        <v>476</v>
      </c>
      <c r="E634" s="2">
        <v>43336.073495370372</v>
      </c>
      <c r="F634" t="s">
        <v>590</v>
      </c>
      <c r="G634" t="s">
        <v>428</v>
      </c>
      <c r="H634" t="s">
        <v>436</v>
      </c>
      <c r="I634" t="s">
        <v>513</v>
      </c>
      <c r="J634" t="s">
        <v>513</v>
      </c>
    </row>
    <row r="635" spans="1:10" hidden="1" x14ac:dyDescent="0.25">
      <c r="A635" t="s">
        <v>125</v>
      </c>
      <c r="B635" t="s">
        <v>6</v>
      </c>
      <c r="C635" t="s">
        <v>7</v>
      </c>
      <c r="D635" t="s">
        <v>476</v>
      </c>
      <c r="E635" s="2">
        <v>43336.073518518519</v>
      </c>
      <c r="F635" t="s">
        <v>303</v>
      </c>
      <c r="G635" t="s">
        <v>426</v>
      </c>
      <c r="H635" t="s">
        <v>426</v>
      </c>
      <c r="I635" t="s">
        <v>494</v>
      </c>
      <c r="J635" t="s">
        <v>544</v>
      </c>
    </row>
    <row r="636" spans="1:10" hidden="1" x14ac:dyDescent="0.25">
      <c r="A636" t="s">
        <v>388</v>
      </c>
      <c r="B636" t="s">
        <v>6</v>
      </c>
      <c r="C636" t="s">
        <v>7</v>
      </c>
      <c r="D636" t="s">
        <v>13</v>
      </c>
      <c r="E636" s="2">
        <v>43336.073761574073</v>
      </c>
      <c r="F636" t="s">
        <v>591</v>
      </c>
      <c r="G636" t="s">
        <v>318</v>
      </c>
      <c r="H636" t="s">
        <v>446</v>
      </c>
      <c r="I636" t="s">
        <v>554</v>
      </c>
      <c r="J636" t="s">
        <v>497</v>
      </c>
    </row>
    <row r="637" spans="1:10" hidden="1" x14ac:dyDescent="0.25">
      <c r="A637" t="s">
        <v>112</v>
      </c>
      <c r="B637" t="s">
        <v>6</v>
      </c>
      <c r="C637" t="s">
        <v>7</v>
      </c>
      <c r="D637" t="s">
        <v>10</v>
      </c>
      <c r="E637" s="2">
        <v>43336.073784722219</v>
      </c>
      <c r="F637" t="s">
        <v>298</v>
      </c>
      <c r="G637" t="s">
        <v>318</v>
      </c>
      <c r="H637" t="s">
        <v>452</v>
      </c>
      <c r="I637" t="s">
        <v>492</v>
      </c>
      <c r="J637" t="s">
        <v>493</v>
      </c>
    </row>
    <row r="638" spans="1:10" hidden="1" x14ac:dyDescent="0.25">
      <c r="A638" t="s">
        <v>375</v>
      </c>
      <c r="B638" t="s">
        <v>6</v>
      </c>
      <c r="C638" t="s">
        <v>7</v>
      </c>
      <c r="D638" t="s">
        <v>10</v>
      </c>
      <c r="E638" s="2">
        <v>43336.073935185188</v>
      </c>
      <c r="F638" t="s">
        <v>587</v>
      </c>
      <c r="G638" t="s">
        <v>457</v>
      </c>
      <c r="H638" t="s">
        <v>431</v>
      </c>
      <c r="I638" t="s">
        <v>566</v>
      </c>
      <c r="J638" t="s">
        <v>491</v>
      </c>
    </row>
    <row r="639" spans="1:10" hidden="1" x14ac:dyDescent="0.25">
      <c r="A639" t="s">
        <v>407</v>
      </c>
      <c r="B639" t="s">
        <v>306</v>
      </c>
      <c r="C639" t="s">
        <v>306</v>
      </c>
      <c r="D639" t="s">
        <v>307</v>
      </c>
      <c r="E639" s="2">
        <v>43336.073993055557</v>
      </c>
      <c r="F639" t="s">
        <v>586</v>
      </c>
      <c r="G639" t="s">
        <v>318</v>
      </c>
      <c r="H639" t="s">
        <v>461</v>
      </c>
      <c r="I639" t="s">
        <v>490</v>
      </c>
      <c r="J639" t="s">
        <v>491</v>
      </c>
    </row>
    <row r="640" spans="1:10" hidden="1" x14ac:dyDescent="0.25">
      <c r="A640" t="s">
        <v>84</v>
      </c>
      <c r="B640" t="s">
        <v>6</v>
      </c>
      <c r="C640" t="s">
        <v>7</v>
      </c>
      <c r="D640" t="s">
        <v>10</v>
      </c>
      <c r="E640" s="2">
        <v>43336.074224537035</v>
      </c>
      <c r="F640" t="s">
        <v>590</v>
      </c>
      <c r="G640" t="s">
        <v>428</v>
      </c>
      <c r="H640" t="s">
        <v>437</v>
      </c>
      <c r="I640" t="s">
        <v>513</v>
      </c>
      <c r="J640" t="s">
        <v>513</v>
      </c>
    </row>
    <row r="641" spans="1:10" hidden="1" x14ac:dyDescent="0.25">
      <c r="A641" t="s">
        <v>333</v>
      </c>
      <c r="B641" t="s">
        <v>6</v>
      </c>
      <c r="C641" t="s">
        <v>7</v>
      </c>
      <c r="D641" t="s">
        <v>13</v>
      </c>
      <c r="E641" s="2">
        <v>43336.074513888889</v>
      </c>
      <c r="F641" t="s">
        <v>591</v>
      </c>
      <c r="G641" t="s">
        <v>318</v>
      </c>
      <c r="H641" t="s">
        <v>447</v>
      </c>
      <c r="I641" t="s">
        <v>554</v>
      </c>
      <c r="J641" t="s">
        <v>497</v>
      </c>
    </row>
    <row r="642" spans="1:10" hidden="1" x14ac:dyDescent="0.25">
      <c r="A642" t="s">
        <v>343</v>
      </c>
      <c r="B642" t="s">
        <v>6</v>
      </c>
      <c r="C642" t="s">
        <v>7</v>
      </c>
      <c r="D642" t="s">
        <v>10</v>
      </c>
      <c r="E642" s="2">
        <v>43336.074560185189</v>
      </c>
      <c r="F642" t="s">
        <v>587</v>
      </c>
      <c r="G642" t="s">
        <v>457</v>
      </c>
      <c r="H642" t="s">
        <v>432</v>
      </c>
      <c r="I642" t="s">
        <v>567</v>
      </c>
      <c r="J642" t="s">
        <v>491</v>
      </c>
    </row>
    <row r="643" spans="1:10" hidden="1" x14ac:dyDescent="0.25">
      <c r="A643" t="s">
        <v>83</v>
      </c>
      <c r="B643" t="s">
        <v>6</v>
      </c>
      <c r="C643" t="s">
        <v>7</v>
      </c>
      <c r="D643" t="s">
        <v>10</v>
      </c>
      <c r="E643" s="2">
        <v>43336.074849537035</v>
      </c>
      <c r="F643" t="s">
        <v>590</v>
      </c>
      <c r="G643" t="s">
        <v>428</v>
      </c>
      <c r="H643" t="s">
        <v>438</v>
      </c>
      <c r="I643" t="s">
        <v>513</v>
      </c>
      <c r="J643" t="s">
        <v>513</v>
      </c>
    </row>
    <row r="644" spans="1:10" hidden="1" x14ac:dyDescent="0.25">
      <c r="A644" t="s">
        <v>344</v>
      </c>
      <c r="B644" t="s">
        <v>6</v>
      </c>
      <c r="C644" t="s">
        <v>7</v>
      </c>
      <c r="D644" t="s">
        <v>10</v>
      </c>
      <c r="E644" s="2">
        <v>43336.075208333335</v>
      </c>
      <c r="F644" t="s">
        <v>587</v>
      </c>
      <c r="G644" t="s">
        <v>457</v>
      </c>
      <c r="H644" t="s">
        <v>433</v>
      </c>
      <c r="I644" t="s">
        <v>569</v>
      </c>
      <c r="J644" t="s">
        <v>491</v>
      </c>
    </row>
    <row r="645" spans="1:10" hidden="1" x14ac:dyDescent="0.25">
      <c r="A645" t="s">
        <v>308</v>
      </c>
      <c r="B645" t="s">
        <v>6</v>
      </c>
      <c r="C645" t="s">
        <v>7</v>
      </c>
      <c r="D645" t="s">
        <v>13</v>
      </c>
      <c r="E645" s="2">
        <v>43336.075254629628</v>
      </c>
      <c r="F645" t="s">
        <v>591</v>
      </c>
      <c r="G645" t="s">
        <v>318</v>
      </c>
      <c r="H645" t="s">
        <v>448</v>
      </c>
      <c r="I645" t="s">
        <v>554</v>
      </c>
      <c r="J645" t="s">
        <v>497</v>
      </c>
    </row>
    <row r="646" spans="1:10" hidden="1" x14ac:dyDescent="0.25">
      <c r="A646" t="s">
        <v>345</v>
      </c>
      <c r="B646" t="s">
        <v>6</v>
      </c>
      <c r="C646" t="s">
        <v>7</v>
      </c>
      <c r="D646" t="s">
        <v>10</v>
      </c>
      <c r="E646" s="2">
        <v>43336.075844907406</v>
      </c>
      <c r="F646" t="s">
        <v>587</v>
      </c>
      <c r="G646" t="s">
        <v>457</v>
      </c>
      <c r="H646" t="s">
        <v>434</v>
      </c>
      <c r="I646" t="s">
        <v>571</v>
      </c>
      <c r="J646" t="s">
        <v>491</v>
      </c>
    </row>
    <row r="647" spans="1:10" hidden="1" x14ac:dyDescent="0.25">
      <c r="A647" t="s">
        <v>423</v>
      </c>
      <c r="B647" t="s">
        <v>6</v>
      </c>
      <c r="C647" t="s">
        <v>7</v>
      </c>
      <c r="D647" t="s">
        <v>13</v>
      </c>
      <c r="E647" s="2">
        <v>43336.075995370367</v>
      </c>
      <c r="F647" t="s">
        <v>591</v>
      </c>
      <c r="G647" t="s">
        <v>318</v>
      </c>
      <c r="H647" t="s">
        <v>449</v>
      </c>
      <c r="I647" t="s">
        <v>554</v>
      </c>
      <c r="J647" t="s">
        <v>497</v>
      </c>
    </row>
    <row r="648" spans="1:10" hidden="1" x14ac:dyDescent="0.25">
      <c r="A648" t="s">
        <v>346</v>
      </c>
      <c r="B648" t="s">
        <v>6</v>
      </c>
      <c r="C648" t="s">
        <v>7</v>
      </c>
      <c r="D648" t="s">
        <v>10</v>
      </c>
      <c r="E648" s="2">
        <v>43336.076458333337</v>
      </c>
      <c r="F648" t="s">
        <v>587</v>
      </c>
      <c r="G648" t="s">
        <v>457</v>
      </c>
      <c r="H648" t="s">
        <v>435</v>
      </c>
      <c r="I648" t="s">
        <v>570</v>
      </c>
      <c r="J648" t="s">
        <v>491</v>
      </c>
    </row>
    <row r="649" spans="1:10" hidden="1" x14ac:dyDescent="0.25">
      <c r="A649" t="s">
        <v>424</v>
      </c>
      <c r="B649" t="s">
        <v>6</v>
      </c>
      <c r="C649" t="s">
        <v>7</v>
      </c>
      <c r="D649" t="s">
        <v>13</v>
      </c>
      <c r="E649" s="2">
        <v>43336.076770833337</v>
      </c>
      <c r="F649" t="s">
        <v>591</v>
      </c>
      <c r="G649" t="s">
        <v>318</v>
      </c>
      <c r="H649" t="s">
        <v>450</v>
      </c>
      <c r="I649" t="s">
        <v>554</v>
      </c>
      <c r="J649" t="s">
        <v>497</v>
      </c>
    </row>
    <row r="650" spans="1:10" hidden="1" x14ac:dyDescent="0.25">
      <c r="A650" t="s">
        <v>408</v>
      </c>
      <c r="B650" t="s">
        <v>306</v>
      </c>
      <c r="C650" t="s">
        <v>306</v>
      </c>
      <c r="D650" t="s">
        <v>307</v>
      </c>
      <c r="E650" s="2">
        <v>43336.076782407406</v>
      </c>
      <c r="F650" t="s">
        <v>586</v>
      </c>
      <c r="G650" t="s">
        <v>318</v>
      </c>
      <c r="H650" t="s">
        <v>462</v>
      </c>
      <c r="I650" t="s">
        <v>490</v>
      </c>
      <c r="J650" t="s">
        <v>491</v>
      </c>
    </row>
    <row r="651" spans="1:10" hidden="1" x14ac:dyDescent="0.25">
      <c r="A651" t="s">
        <v>417</v>
      </c>
      <c r="B651" t="s">
        <v>6</v>
      </c>
      <c r="C651" t="s">
        <v>7</v>
      </c>
      <c r="D651" t="s">
        <v>10</v>
      </c>
      <c r="E651" s="2">
        <v>43336.077407407407</v>
      </c>
      <c r="F651" t="s">
        <v>591</v>
      </c>
      <c r="G651" t="s">
        <v>318</v>
      </c>
      <c r="H651" t="s">
        <v>451</v>
      </c>
      <c r="I651" t="s">
        <v>490</v>
      </c>
      <c r="J651" t="s">
        <v>497</v>
      </c>
    </row>
    <row r="652" spans="1:10" hidden="1" x14ac:dyDescent="0.25">
      <c r="A652" t="s">
        <v>419</v>
      </c>
      <c r="B652" t="s">
        <v>6</v>
      </c>
      <c r="C652" t="s">
        <v>7</v>
      </c>
      <c r="D652" t="s">
        <v>10</v>
      </c>
      <c r="E652" s="2">
        <v>43336.078055555554</v>
      </c>
      <c r="F652" t="s">
        <v>591</v>
      </c>
      <c r="G652" t="s">
        <v>318</v>
      </c>
      <c r="H652" t="s">
        <v>452</v>
      </c>
      <c r="I652" t="s">
        <v>490</v>
      </c>
      <c r="J652" t="s">
        <v>497</v>
      </c>
    </row>
    <row r="653" spans="1:10" hidden="1" x14ac:dyDescent="0.25">
      <c r="A653" t="s">
        <v>335</v>
      </c>
      <c r="B653" t="s">
        <v>306</v>
      </c>
      <c r="C653" t="s">
        <v>306</v>
      </c>
      <c r="D653" t="s">
        <v>307</v>
      </c>
      <c r="E653" s="2">
        <v>43336.079571759263</v>
      </c>
      <c r="F653" t="s">
        <v>586</v>
      </c>
      <c r="G653" t="s">
        <v>318</v>
      </c>
      <c r="H653" t="s">
        <v>453</v>
      </c>
      <c r="I653" t="s">
        <v>490</v>
      </c>
      <c r="J653" t="s">
        <v>491</v>
      </c>
    </row>
    <row r="654" spans="1:10" hidden="1" x14ac:dyDescent="0.25">
      <c r="A654" t="s">
        <v>336</v>
      </c>
      <c r="B654" t="s">
        <v>306</v>
      </c>
      <c r="C654" t="s">
        <v>306</v>
      </c>
      <c r="D654" t="s">
        <v>307</v>
      </c>
      <c r="E654" s="2">
        <v>43336.082361111112</v>
      </c>
      <c r="F654" t="s">
        <v>586</v>
      </c>
      <c r="G654" t="s">
        <v>318</v>
      </c>
      <c r="H654" t="s">
        <v>454</v>
      </c>
      <c r="I654" t="s">
        <v>490</v>
      </c>
      <c r="J654" t="s">
        <v>491</v>
      </c>
    </row>
    <row r="655" spans="1:10" hidden="1" x14ac:dyDescent="0.25">
      <c r="A655" t="s">
        <v>337</v>
      </c>
      <c r="B655" t="s">
        <v>306</v>
      </c>
      <c r="C655" t="s">
        <v>306</v>
      </c>
      <c r="D655" t="s">
        <v>307</v>
      </c>
      <c r="E655" s="2">
        <v>43336.085150462961</v>
      </c>
      <c r="F655" t="s">
        <v>586</v>
      </c>
      <c r="G655" t="s">
        <v>318</v>
      </c>
      <c r="H655" t="s">
        <v>455</v>
      </c>
      <c r="I655" t="s">
        <v>490</v>
      </c>
      <c r="J655" t="s">
        <v>491</v>
      </c>
    </row>
    <row r="656" spans="1:10" hidden="1" x14ac:dyDescent="0.25">
      <c r="A656" t="s">
        <v>278</v>
      </c>
      <c r="B656" t="s">
        <v>6</v>
      </c>
      <c r="C656" t="s">
        <v>7</v>
      </c>
      <c r="D656" t="s">
        <v>10</v>
      </c>
      <c r="E656" s="2">
        <v>43336.086168981485</v>
      </c>
      <c r="F656" t="s">
        <v>302</v>
      </c>
      <c r="G656" t="s">
        <v>454</v>
      </c>
      <c r="H656" t="s">
        <v>452</v>
      </c>
      <c r="I656" t="s">
        <v>498</v>
      </c>
      <c r="J656" t="s">
        <v>498</v>
      </c>
    </row>
    <row r="657" spans="1:10" hidden="1" x14ac:dyDescent="0.25">
      <c r="A657" t="s">
        <v>377</v>
      </c>
      <c r="B657" t="s">
        <v>6</v>
      </c>
      <c r="C657" t="s">
        <v>7</v>
      </c>
      <c r="D657" t="s">
        <v>10</v>
      </c>
      <c r="E657" s="2">
        <v>43336.086886574078</v>
      </c>
      <c r="F657" t="s">
        <v>298</v>
      </c>
      <c r="G657" t="s">
        <v>318</v>
      </c>
      <c r="H657" t="s">
        <v>318</v>
      </c>
      <c r="I657" t="s">
        <v>581</v>
      </c>
      <c r="J657" t="s">
        <v>581</v>
      </c>
    </row>
    <row r="658" spans="1:10" hidden="1" x14ac:dyDescent="0.25">
      <c r="A658" t="s">
        <v>384</v>
      </c>
      <c r="B658" t="s">
        <v>6</v>
      </c>
      <c r="C658" t="s">
        <v>7</v>
      </c>
      <c r="D658" t="s">
        <v>10</v>
      </c>
      <c r="E658" s="2">
        <v>43336.087523148148</v>
      </c>
      <c r="F658" t="s">
        <v>298</v>
      </c>
      <c r="G658" t="s">
        <v>318</v>
      </c>
      <c r="H658" t="s">
        <v>323</v>
      </c>
      <c r="I658" t="s">
        <v>581</v>
      </c>
      <c r="J658" t="s">
        <v>581</v>
      </c>
    </row>
    <row r="659" spans="1:10" hidden="1" x14ac:dyDescent="0.25">
      <c r="A659" t="s">
        <v>111</v>
      </c>
      <c r="B659" t="s">
        <v>6</v>
      </c>
      <c r="C659" t="s">
        <v>7</v>
      </c>
      <c r="D659" t="s">
        <v>10</v>
      </c>
      <c r="E659" s="2">
        <v>43336.087858796294</v>
      </c>
      <c r="F659" t="s">
        <v>299</v>
      </c>
      <c r="G659" t="s">
        <v>318</v>
      </c>
      <c r="H659" t="s">
        <v>318</v>
      </c>
      <c r="I659" t="s">
        <v>492</v>
      </c>
      <c r="J659" t="s">
        <v>493</v>
      </c>
    </row>
    <row r="660" spans="1:10" hidden="1" x14ac:dyDescent="0.25">
      <c r="A660" t="s">
        <v>338</v>
      </c>
      <c r="B660" t="s">
        <v>306</v>
      </c>
      <c r="C660" t="s">
        <v>306</v>
      </c>
      <c r="D660" t="s">
        <v>307</v>
      </c>
      <c r="E660" s="2">
        <v>43336.087939814817</v>
      </c>
      <c r="F660" t="s">
        <v>586</v>
      </c>
      <c r="G660" t="s">
        <v>318</v>
      </c>
      <c r="H660" t="s">
        <v>456</v>
      </c>
      <c r="I660" t="s">
        <v>490</v>
      </c>
      <c r="J660" t="s">
        <v>491</v>
      </c>
    </row>
    <row r="661" spans="1:10" hidden="1" x14ac:dyDescent="0.25">
      <c r="A661" t="s">
        <v>326</v>
      </c>
      <c r="B661" t="s">
        <v>6</v>
      </c>
      <c r="C661" t="s">
        <v>7</v>
      </c>
      <c r="D661" t="s">
        <v>10</v>
      </c>
      <c r="E661" s="2">
        <v>43336.088125000002</v>
      </c>
      <c r="F661" t="s">
        <v>298</v>
      </c>
      <c r="G661" t="s">
        <v>318</v>
      </c>
      <c r="H661" t="s">
        <v>385</v>
      </c>
      <c r="I661" t="s">
        <v>581</v>
      </c>
      <c r="J661" t="s">
        <v>581</v>
      </c>
    </row>
    <row r="662" spans="1:10" hidden="1" x14ac:dyDescent="0.25">
      <c r="A662" t="s">
        <v>110</v>
      </c>
      <c r="B662" t="s">
        <v>6</v>
      </c>
      <c r="C662" t="s">
        <v>7</v>
      </c>
      <c r="D662" t="s">
        <v>10</v>
      </c>
      <c r="E662" s="2">
        <v>43336.088483796295</v>
      </c>
      <c r="F662" t="s">
        <v>299</v>
      </c>
      <c r="G662" t="s">
        <v>318</v>
      </c>
      <c r="H662" t="s">
        <v>323</v>
      </c>
      <c r="I662" t="s">
        <v>492</v>
      </c>
      <c r="J662" t="s">
        <v>493</v>
      </c>
    </row>
    <row r="663" spans="1:10" hidden="1" x14ac:dyDescent="0.25">
      <c r="A663" t="s">
        <v>272</v>
      </c>
      <c r="B663" t="s">
        <v>6</v>
      </c>
      <c r="C663" t="s">
        <v>7</v>
      </c>
      <c r="D663" t="s">
        <v>10</v>
      </c>
      <c r="E663" s="2">
        <v>43336.088495370372</v>
      </c>
      <c r="F663" t="s">
        <v>300</v>
      </c>
      <c r="G663" t="s">
        <v>461</v>
      </c>
      <c r="H663" t="s">
        <v>431</v>
      </c>
      <c r="I663" t="s">
        <v>494</v>
      </c>
      <c r="J663" t="s">
        <v>582</v>
      </c>
    </row>
    <row r="664" spans="1:10" hidden="1" x14ac:dyDescent="0.25">
      <c r="A664" t="s">
        <v>463</v>
      </c>
      <c r="B664" t="s">
        <v>6</v>
      </c>
      <c r="C664" t="s">
        <v>7</v>
      </c>
      <c r="D664" t="s">
        <v>10</v>
      </c>
      <c r="E664" s="2">
        <v>43336.088750000003</v>
      </c>
      <c r="F664" t="s">
        <v>298</v>
      </c>
      <c r="G664" t="s">
        <v>318</v>
      </c>
      <c r="H664" t="s">
        <v>457</v>
      </c>
      <c r="I664" t="s">
        <v>581</v>
      </c>
      <c r="J664" t="s">
        <v>581</v>
      </c>
    </row>
    <row r="665" spans="1:10" hidden="1" x14ac:dyDescent="0.25">
      <c r="A665" t="s">
        <v>282</v>
      </c>
      <c r="B665" t="s">
        <v>6</v>
      </c>
      <c r="C665" t="s">
        <v>7</v>
      </c>
      <c r="D665" t="s">
        <v>10</v>
      </c>
      <c r="E665" s="2">
        <v>43336.089097222219</v>
      </c>
      <c r="F665" t="s">
        <v>300</v>
      </c>
      <c r="G665" t="s">
        <v>461</v>
      </c>
      <c r="H665" t="s">
        <v>432</v>
      </c>
      <c r="I665" t="s">
        <v>494</v>
      </c>
      <c r="J665" t="s">
        <v>582</v>
      </c>
    </row>
    <row r="666" spans="1:10" hidden="1" x14ac:dyDescent="0.25">
      <c r="A666" t="s">
        <v>109</v>
      </c>
      <c r="B666" t="s">
        <v>6</v>
      </c>
      <c r="C666" t="s">
        <v>7</v>
      </c>
      <c r="D666" t="s">
        <v>10</v>
      </c>
      <c r="E666" s="2">
        <v>43336.089236111111</v>
      </c>
      <c r="F666" t="s">
        <v>299</v>
      </c>
      <c r="G666" t="s">
        <v>318</v>
      </c>
      <c r="H666" t="s">
        <v>385</v>
      </c>
      <c r="I666" t="s">
        <v>533</v>
      </c>
      <c r="J666" t="s">
        <v>543</v>
      </c>
    </row>
    <row r="667" spans="1:10" hidden="1" x14ac:dyDescent="0.25">
      <c r="A667" t="s">
        <v>284</v>
      </c>
      <c r="B667" t="s">
        <v>6</v>
      </c>
      <c r="C667" t="s">
        <v>7</v>
      </c>
      <c r="D667" t="s">
        <v>13</v>
      </c>
      <c r="E667" s="2">
        <v>43336.089236111111</v>
      </c>
      <c r="F667" t="s">
        <v>303</v>
      </c>
      <c r="G667" t="s">
        <v>427</v>
      </c>
      <c r="H667" t="s">
        <v>427</v>
      </c>
      <c r="I667" t="s">
        <v>494</v>
      </c>
      <c r="J667" t="s">
        <v>544</v>
      </c>
    </row>
    <row r="668" spans="1:10" hidden="1" x14ac:dyDescent="0.25">
      <c r="A668" t="s">
        <v>464</v>
      </c>
      <c r="B668" t="s">
        <v>6</v>
      </c>
      <c r="C668" t="s">
        <v>7</v>
      </c>
      <c r="D668" t="s">
        <v>10</v>
      </c>
      <c r="E668" s="2">
        <v>43336.089398148149</v>
      </c>
      <c r="F668" t="s">
        <v>298</v>
      </c>
      <c r="G668" t="s">
        <v>318</v>
      </c>
      <c r="H668" t="s">
        <v>458</v>
      </c>
      <c r="I668" t="s">
        <v>581</v>
      </c>
      <c r="J668" t="s">
        <v>581</v>
      </c>
    </row>
    <row r="669" spans="1:10" hidden="1" x14ac:dyDescent="0.25">
      <c r="A669" t="s">
        <v>245</v>
      </c>
      <c r="B669" t="s">
        <v>6</v>
      </c>
      <c r="C669" t="s">
        <v>7</v>
      </c>
      <c r="D669" t="s">
        <v>10</v>
      </c>
      <c r="E669" s="2">
        <v>43336.089722222219</v>
      </c>
      <c r="F669" t="s">
        <v>300</v>
      </c>
      <c r="G669" t="s">
        <v>461</v>
      </c>
      <c r="H669" t="s">
        <v>433</v>
      </c>
      <c r="I669" t="s">
        <v>494</v>
      </c>
      <c r="J669" t="s">
        <v>582</v>
      </c>
    </row>
    <row r="670" spans="1:10" hidden="1" x14ac:dyDescent="0.25">
      <c r="A670" t="s">
        <v>215</v>
      </c>
      <c r="B670" t="s">
        <v>6</v>
      </c>
      <c r="C670" t="s">
        <v>7</v>
      </c>
      <c r="D670" t="s">
        <v>10</v>
      </c>
      <c r="E670" s="2">
        <v>43336.089884259258</v>
      </c>
      <c r="F670" t="s">
        <v>303</v>
      </c>
      <c r="G670" t="s">
        <v>427</v>
      </c>
      <c r="H670" t="s">
        <v>428</v>
      </c>
      <c r="I670" t="s">
        <v>494</v>
      </c>
      <c r="J670" t="s">
        <v>501</v>
      </c>
    </row>
    <row r="671" spans="1:10" hidden="1" x14ac:dyDescent="0.25">
      <c r="A671" t="s">
        <v>172</v>
      </c>
      <c r="B671" t="s">
        <v>6</v>
      </c>
      <c r="C671" t="s">
        <v>7</v>
      </c>
      <c r="D671" t="s">
        <v>10</v>
      </c>
      <c r="E671" s="2">
        <v>43336.089930555558</v>
      </c>
      <c r="F671" t="s">
        <v>585</v>
      </c>
      <c r="G671" t="s">
        <v>318</v>
      </c>
      <c r="H671" t="s">
        <v>318</v>
      </c>
      <c r="I671" t="s">
        <v>494</v>
      </c>
      <c r="J671" t="s">
        <v>501</v>
      </c>
    </row>
    <row r="672" spans="1:10" hidden="1" x14ac:dyDescent="0.25">
      <c r="A672" t="s">
        <v>482</v>
      </c>
      <c r="B672" t="s">
        <v>6</v>
      </c>
      <c r="C672" t="s">
        <v>7</v>
      </c>
      <c r="D672" t="s">
        <v>10</v>
      </c>
      <c r="E672" s="2">
        <v>43336.09</v>
      </c>
      <c r="F672" t="s">
        <v>298</v>
      </c>
      <c r="G672" t="s">
        <v>318</v>
      </c>
      <c r="H672" t="s">
        <v>459</v>
      </c>
      <c r="I672" t="s">
        <v>581</v>
      </c>
      <c r="J672" t="s">
        <v>581</v>
      </c>
    </row>
    <row r="673" spans="1:10" hidden="1" x14ac:dyDescent="0.25">
      <c r="A673" t="s">
        <v>104</v>
      </c>
      <c r="B673" t="s">
        <v>6</v>
      </c>
      <c r="C673" t="s">
        <v>7</v>
      </c>
      <c r="D673" t="s">
        <v>27</v>
      </c>
      <c r="E673" s="2">
        <v>43336.090162037035</v>
      </c>
      <c r="F673" t="s">
        <v>299</v>
      </c>
      <c r="G673" t="s">
        <v>318</v>
      </c>
      <c r="H673" t="s">
        <v>457</v>
      </c>
      <c r="I673" t="s">
        <v>533</v>
      </c>
      <c r="J673" t="s">
        <v>543</v>
      </c>
    </row>
    <row r="674" spans="1:10" hidden="1" x14ac:dyDescent="0.25">
      <c r="A674" t="s">
        <v>246</v>
      </c>
      <c r="B674" t="s">
        <v>6</v>
      </c>
      <c r="C674" t="s">
        <v>7</v>
      </c>
      <c r="D674" t="s">
        <v>10</v>
      </c>
      <c r="E674" s="2">
        <v>43336.09034722222</v>
      </c>
      <c r="F674" t="s">
        <v>300</v>
      </c>
      <c r="G674" t="s">
        <v>461</v>
      </c>
      <c r="H674" t="s">
        <v>434</v>
      </c>
      <c r="I674" t="s">
        <v>494</v>
      </c>
      <c r="J674" t="s">
        <v>582</v>
      </c>
    </row>
    <row r="675" spans="1:10" hidden="1" x14ac:dyDescent="0.25">
      <c r="A675" t="s">
        <v>285</v>
      </c>
      <c r="B675" t="s">
        <v>6</v>
      </c>
      <c r="C675" t="s">
        <v>7</v>
      </c>
      <c r="D675" t="s">
        <v>10</v>
      </c>
      <c r="E675" s="2">
        <v>43336.090509259258</v>
      </c>
      <c r="F675" t="s">
        <v>303</v>
      </c>
      <c r="G675" t="s">
        <v>427</v>
      </c>
      <c r="H675" t="s">
        <v>429</v>
      </c>
      <c r="I675" t="s">
        <v>494</v>
      </c>
      <c r="J675" t="s">
        <v>501</v>
      </c>
    </row>
    <row r="676" spans="1:10" hidden="1" x14ac:dyDescent="0.25">
      <c r="A676" t="s">
        <v>171</v>
      </c>
      <c r="B676" t="s">
        <v>6</v>
      </c>
      <c r="C676" t="s">
        <v>7</v>
      </c>
      <c r="D676" t="s">
        <v>10</v>
      </c>
      <c r="E676" s="2">
        <v>43336.090555555558</v>
      </c>
      <c r="F676" t="s">
        <v>585</v>
      </c>
      <c r="G676" t="s">
        <v>318</v>
      </c>
      <c r="H676" t="s">
        <v>323</v>
      </c>
      <c r="I676" t="s">
        <v>494</v>
      </c>
      <c r="J676" t="s">
        <v>501</v>
      </c>
    </row>
    <row r="677" spans="1:10" hidden="1" x14ac:dyDescent="0.25">
      <c r="A677" t="s">
        <v>123</v>
      </c>
      <c r="B677" t="s">
        <v>6</v>
      </c>
      <c r="C677" t="s">
        <v>7</v>
      </c>
      <c r="D677" t="s">
        <v>10</v>
      </c>
      <c r="E677" s="2">
        <v>43336.090567129628</v>
      </c>
      <c r="F677" t="s">
        <v>590</v>
      </c>
      <c r="G677" t="s">
        <v>428</v>
      </c>
      <c r="H677" t="s">
        <v>439</v>
      </c>
      <c r="I677" t="s">
        <v>513</v>
      </c>
      <c r="J677" t="s">
        <v>513</v>
      </c>
    </row>
    <row r="678" spans="1:10" hidden="1" x14ac:dyDescent="0.25">
      <c r="A678" t="s">
        <v>479</v>
      </c>
      <c r="B678" t="s">
        <v>6</v>
      </c>
      <c r="C678" t="s">
        <v>7</v>
      </c>
      <c r="D678" t="s">
        <v>10</v>
      </c>
      <c r="E678" s="2">
        <v>43336.090613425928</v>
      </c>
      <c r="F678" t="s">
        <v>298</v>
      </c>
      <c r="G678" t="s">
        <v>318</v>
      </c>
      <c r="H678" t="s">
        <v>460</v>
      </c>
      <c r="I678" t="s">
        <v>581</v>
      </c>
      <c r="J678" t="s">
        <v>581</v>
      </c>
    </row>
    <row r="679" spans="1:10" hidden="1" x14ac:dyDescent="0.25">
      <c r="A679" t="s">
        <v>339</v>
      </c>
      <c r="B679" t="s">
        <v>306</v>
      </c>
      <c r="C679" t="s">
        <v>306</v>
      </c>
      <c r="D679" t="s">
        <v>307</v>
      </c>
      <c r="E679" s="2">
        <v>43336.090729166666</v>
      </c>
      <c r="F679" t="s">
        <v>586</v>
      </c>
      <c r="G679" t="s">
        <v>318</v>
      </c>
      <c r="H679" t="s">
        <v>426</v>
      </c>
      <c r="I679" t="s">
        <v>490</v>
      </c>
      <c r="J679" t="s">
        <v>491</v>
      </c>
    </row>
    <row r="680" spans="1:10" hidden="1" x14ac:dyDescent="0.25">
      <c r="A680" t="s">
        <v>98</v>
      </c>
      <c r="B680" t="s">
        <v>6</v>
      </c>
      <c r="C680" t="s">
        <v>7</v>
      </c>
      <c r="D680" t="s">
        <v>476</v>
      </c>
      <c r="E680" s="2">
        <v>43336.090810185182</v>
      </c>
      <c r="F680" t="s">
        <v>299</v>
      </c>
      <c r="G680" t="s">
        <v>318</v>
      </c>
      <c r="H680" t="s">
        <v>458</v>
      </c>
      <c r="I680" t="s">
        <v>545</v>
      </c>
      <c r="J680" t="s">
        <v>497</v>
      </c>
    </row>
    <row r="681" spans="1:10" hidden="1" x14ac:dyDescent="0.25">
      <c r="A681" t="s">
        <v>247</v>
      </c>
      <c r="B681" t="s">
        <v>6</v>
      </c>
      <c r="C681" t="s">
        <v>7</v>
      </c>
      <c r="D681" t="s">
        <v>10</v>
      </c>
      <c r="E681" s="2">
        <v>43336.090960648151</v>
      </c>
      <c r="F681" t="s">
        <v>300</v>
      </c>
      <c r="G681" t="s">
        <v>461</v>
      </c>
      <c r="H681" t="s">
        <v>435</v>
      </c>
      <c r="I681" t="s">
        <v>494</v>
      </c>
      <c r="J681" t="s">
        <v>582</v>
      </c>
    </row>
    <row r="682" spans="1:10" hidden="1" x14ac:dyDescent="0.25">
      <c r="A682" t="s">
        <v>214</v>
      </c>
      <c r="B682" t="s">
        <v>6</v>
      </c>
      <c r="C682" t="s">
        <v>7</v>
      </c>
      <c r="D682" t="s">
        <v>10</v>
      </c>
      <c r="E682" s="2">
        <v>43336.091111111113</v>
      </c>
      <c r="F682" t="s">
        <v>303</v>
      </c>
      <c r="G682" t="s">
        <v>427</v>
      </c>
      <c r="H682" t="s">
        <v>430</v>
      </c>
      <c r="I682" t="s">
        <v>494</v>
      </c>
      <c r="J682" t="s">
        <v>501</v>
      </c>
    </row>
    <row r="683" spans="1:10" hidden="1" x14ac:dyDescent="0.25">
      <c r="A683" t="s">
        <v>207</v>
      </c>
      <c r="B683" t="s">
        <v>6</v>
      </c>
      <c r="C683" t="s">
        <v>7</v>
      </c>
      <c r="D683" t="s">
        <v>10</v>
      </c>
      <c r="E683" s="2">
        <v>43336.091157407405</v>
      </c>
      <c r="F683" t="s">
        <v>585</v>
      </c>
      <c r="G683" t="s">
        <v>318</v>
      </c>
      <c r="H683" t="s">
        <v>385</v>
      </c>
      <c r="I683" t="s">
        <v>494</v>
      </c>
      <c r="J683" t="s">
        <v>501</v>
      </c>
    </row>
    <row r="684" spans="1:10" hidden="1" x14ac:dyDescent="0.25">
      <c r="A684" t="s">
        <v>41</v>
      </c>
      <c r="B684" t="s">
        <v>6</v>
      </c>
      <c r="C684" t="s">
        <v>7</v>
      </c>
      <c r="D684" t="s">
        <v>10</v>
      </c>
      <c r="E684" s="2">
        <v>43336.091180555559</v>
      </c>
      <c r="F684" t="s">
        <v>590</v>
      </c>
      <c r="G684" t="s">
        <v>428</v>
      </c>
      <c r="H684" t="s">
        <v>440</v>
      </c>
      <c r="I684" t="s">
        <v>513</v>
      </c>
      <c r="J684" t="s">
        <v>513</v>
      </c>
    </row>
    <row r="685" spans="1:10" hidden="1" x14ac:dyDescent="0.25">
      <c r="A685" t="s">
        <v>381</v>
      </c>
      <c r="B685" t="s">
        <v>6</v>
      </c>
      <c r="C685" t="s">
        <v>7</v>
      </c>
      <c r="D685" t="s">
        <v>10</v>
      </c>
      <c r="E685" s="2">
        <v>43336.091215277775</v>
      </c>
      <c r="F685" t="s">
        <v>298</v>
      </c>
      <c r="G685" t="s">
        <v>318</v>
      </c>
      <c r="H685" t="s">
        <v>461</v>
      </c>
      <c r="I685" t="s">
        <v>581</v>
      </c>
      <c r="J685" t="s">
        <v>581</v>
      </c>
    </row>
    <row r="686" spans="1:10" hidden="1" x14ac:dyDescent="0.25">
      <c r="A686" t="s">
        <v>208</v>
      </c>
      <c r="B686" t="s">
        <v>6</v>
      </c>
      <c r="C686" t="s">
        <v>7</v>
      </c>
      <c r="D686" t="s">
        <v>13</v>
      </c>
      <c r="E686" s="2">
        <v>43336.09138888889</v>
      </c>
      <c r="F686" t="s">
        <v>591</v>
      </c>
      <c r="G686" t="s">
        <v>318</v>
      </c>
      <c r="H686" t="s">
        <v>318</v>
      </c>
      <c r="I686" t="s">
        <v>497</v>
      </c>
      <c r="J686" t="s">
        <v>497</v>
      </c>
    </row>
    <row r="687" spans="1:10" hidden="1" x14ac:dyDescent="0.25">
      <c r="A687" t="s">
        <v>150</v>
      </c>
      <c r="B687" t="s">
        <v>6</v>
      </c>
      <c r="C687" t="s">
        <v>7</v>
      </c>
      <c r="D687" t="s">
        <v>476</v>
      </c>
      <c r="E687" s="2">
        <v>43336.091458333336</v>
      </c>
      <c r="F687" t="s">
        <v>299</v>
      </c>
      <c r="G687" t="s">
        <v>318</v>
      </c>
      <c r="H687" t="s">
        <v>459</v>
      </c>
      <c r="I687" t="s">
        <v>545</v>
      </c>
      <c r="J687" t="s">
        <v>497</v>
      </c>
    </row>
    <row r="688" spans="1:10" hidden="1" x14ac:dyDescent="0.25">
      <c r="A688" t="s">
        <v>248</v>
      </c>
      <c r="B688" t="s">
        <v>6</v>
      </c>
      <c r="C688" t="s">
        <v>7</v>
      </c>
      <c r="D688" t="s">
        <v>10</v>
      </c>
      <c r="E688" s="2">
        <v>43336.091574074075</v>
      </c>
      <c r="F688" t="s">
        <v>300</v>
      </c>
      <c r="G688" t="s">
        <v>461</v>
      </c>
      <c r="H688" t="s">
        <v>436</v>
      </c>
      <c r="I688" t="s">
        <v>494</v>
      </c>
      <c r="J688" t="s">
        <v>582</v>
      </c>
    </row>
    <row r="689" spans="1:10" hidden="1" x14ac:dyDescent="0.25">
      <c r="A689" t="s">
        <v>213</v>
      </c>
      <c r="B689" t="s">
        <v>6</v>
      </c>
      <c r="C689" t="s">
        <v>7</v>
      </c>
      <c r="D689" t="s">
        <v>10</v>
      </c>
      <c r="E689" s="2">
        <v>43336.091736111113</v>
      </c>
      <c r="F689" t="s">
        <v>303</v>
      </c>
      <c r="G689" t="s">
        <v>427</v>
      </c>
      <c r="H689" t="s">
        <v>431</v>
      </c>
      <c r="I689" t="s">
        <v>494</v>
      </c>
      <c r="J689" t="s">
        <v>501</v>
      </c>
    </row>
    <row r="690" spans="1:10" hidden="1" x14ac:dyDescent="0.25">
      <c r="A690" t="s">
        <v>137</v>
      </c>
      <c r="B690" t="s">
        <v>6</v>
      </c>
      <c r="C690" t="s">
        <v>7</v>
      </c>
      <c r="D690" t="s">
        <v>10</v>
      </c>
      <c r="E690" s="2">
        <v>43336.091782407406</v>
      </c>
      <c r="F690" t="s">
        <v>585</v>
      </c>
      <c r="G690" t="s">
        <v>318</v>
      </c>
      <c r="H690" t="s">
        <v>457</v>
      </c>
      <c r="I690" t="s">
        <v>494</v>
      </c>
      <c r="J690" t="s">
        <v>501</v>
      </c>
    </row>
    <row r="691" spans="1:10" hidden="1" x14ac:dyDescent="0.25">
      <c r="A691" t="s">
        <v>76</v>
      </c>
      <c r="B691" t="s">
        <v>6</v>
      </c>
      <c r="C691" t="s">
        <v>7</v>
      </c>
      <c r="D691" t="s">
        <v>476</v>
      </c>
      <c r="E691" s="2">
        <v>43336.091793981483</v>
      </c>
      <c r="F691" t="s">
        <v>590</v>
      </c>
      <c r="G691" t="s">
        <v>428</v>
      </c>
      <c r="H691" t="s">
        <v>441</v>
      </c>
      <c r="I691" t="s">
        <v>507</v>
      </c>
      <c r="J691" t="s">
        <v>507</v>
      </c>
    </row>
    <row r="692" spans="1:10" hidden="1" x14ac:dyDescent="0.25">
      <c r="A692" t="s">
        <v>415</v>
      </c>
      <c r="B692" t="s">
        <v>6</v>
      </c>
      <c r="C692" t="s">
        <v>7</v>
      </c>
      <c r="D692" t="s">
        <v>10</v>
      </c>
      <c r="E692" s="2">
        <v>43336.091828703706</v>
      </c>
      <c r="F692" t="s">
        <v>298</v>
      </c>
      <c r="G692" t="s">
        <v>318</v>
      </c>
      <c r="H692" t="s">
        <v>462</v>
      </c>
      <c r="I692" t="s">
        <v>581</v>
      </c>
      <c r="J692" t="s">
        <v>581</v>
      </c>
    </row>
    <row r="693" spans="1:10" hidden="1" x14ac:dyDescent="0.25">
      <c r="A693" t="s">
        <v>97</v>
      </c>
      <c r="B693" t="s">
        <v>6</v>
      </c>
      <c r="C693" t="s">
        <v>7</v>
      </c>
      <c r="D693" t="s">
        <v>476</v>
      </c>
      <c r="E693" s="2">
        <v>43336.09202546296</v>
      </c>
      <c r="F693" t="s">
        <v>591</v>
      </c>
      <c r="G693" t="s">
        <v>318</v>
      </c>
      <c r="H693" t="s">
        <v>323</v>
      </c>
      <c r="I693" t="s">
        <v>497</v>
      </c>
      <c r="J693" t="s">
        <v>497</v>
      </c>
    </row>
    <row r="694" spans="1:10" hidden="1" x14ac:dyDescent="0.25">
      <c r="A694" t="s">
        <v>119</v>
      </c>
      <c r="B694" t="s">
        <v>6</v>
      </c>
      <c r="C694" t="s">
        <v>7</v>
      </c>
      <c r="D694" t="s">
        <v>10</v>
      </c>
      <c r="E694" s="2">
        <v>43336.092106481483</v>
      </c>
      <c r="F694" t="s">
        <v>299</v>
      </c>
      <c r="G694" t="s">
        <v>318</v>
      </c>
      <c r="H694" t="s">
        <v>460</v>
      </c>
      <c r="I694" t="s">
        <v>545</v>
      </c>
      <c r="J694" t="s">
        <v>497</v>
      </c>
    </row>
    <row r="695" spans="1:10" hidden="1" x14ac:dyDescent="0.25">
      <c r="A695" t="s">
        <v>212</v>
      </c>
      <c r="B695" t="s">
        <v>6</v>
      </c>
      <c r="C695" t="s">
        <v>7</v>
      </c>
      <c r="D695" t="s">
        <v>10</v>
      </c>
      <c r="E695" s="2">
        <v>43336.092361111114</v>
      </c>
      <c r="F695" t="s">
        <v>303</v>
      </c>
      <c r="G695" t="s">
        <v>427</v>
      </c>
      <c r="H695" t="s">
        <v>432</v>
      </c>
      <c r="I695" t="s">
        <v>494</v>
      </c>
      <c r="J695" t="s">
        <v>501</v>
      </c>
    </row>
    <row r="696" spans="1:10" hidden="1" x14ac:dyDescent="0.25">
      <c r="A696" t="s">
        <v>249</v>
      </c>
      <c r="B696" t="s">
        <v>6</v>
      </c>
      <c r="C696" t="s">
        <v>7</v>
      </c>
      <c r="D696" t="s">
        <v>27</v>
      </c>
      <c r="E696" s="2">
        <v>43336.09238425926</v>
      </c>
      <c r="F696" t="s">
        <v>300</v>
      </c>
      <c r="G696" t="s">
        <v>461</v>
      </c>
      <c r="H696" t="s">
        <v>437</v>
      </c>
      <c r="I696" t="s">
        <v>494</v>
      </c>
      <c r="J696" t="s">
        <v>583</v>
      </c>
    </row>
    <row r="697" spans="1:10" hidden="1" x14ac:dyDescent="0.25">
      <c r="A697" t="s">
        <v>75</v>
      </c>
      <c r="B697" t="s">
        <v>6</v>
      </c>
      <c r="C697" t="s">
        <v>7</v>
      </c>
      <c r="D697" t="s">
        <v>10</v>
      </c>
      <c r="E697" s="2">
        <v>43336.092511574076</v>
      </c>
      <c r="F697" t="s">
        <v>590</v>
      </c>
      <c r="G697" t="s">
        <v>428</v>
      </c>
      <c r="H697" t="s">
        <v>442</v>
      </c>
      <c r="I697" t="s">
        <v>504</v>
      </c>
      <c r="J697" t="s">
        <v>504</v>
      </c>
    </row>
    <row r="698" spans="1:10" hidden="1" x14ac:dyDescent="0.25">
      <c r="A698" t="s">
        <v>143</v>
      </c>
      <c r="B698" t="s">
        <v>6</v>
      </c>
      <c r="C698" t="s">
        <v>7</v>
      </c>
      <c r="D698" t="s">
        <v>10</v>
      </c>
      <c r="E698" s="2">
        <v>43336.092523148145</v>
      </c>
      <c r="F698" t="s">
        <v>585</v>
      </c>
      <c r="G698" t="s">
        <v>318</v>
      </c>
      <c r="H698" t="s">
        <v>458</v>
      </c>
      <c r="I698" t="s">
        <v>494</v>
      </c>
      <c r="J698" t="s">
        <v>501</v>
      </c>
    </row>
    <row r="699" spans="1:10" hidden="1" x14ac:dyDescent="0.25">
      <c r="A699" t="s">
        <v>348</v>
      </c>
      <c r="B699" t="s">
        <v>6</v>
      </c>
      <c r="C699" t="s">
        <v>7</v>
      </c>
      <c r="D699" t="s">
        <v>10</v>
      </c>
      <c r="E699" s="2">
        <v>43336.092650462961</v>
      </c>
      <c r="F699" t="s">
        <v>587</v>
      </c>
      <c r="G699" t="s">
        <v>457</v>
      </c>
      <c r="H699" t="s">
        <v>436</v>
      </c>
      <c r="I699" t="s">
        <v>573</v>
      </c>
      <c r="J699" t="s">
        <v>491</v>
      </c>
    </row>
    <row r="700" spans="1:10" hidden="1" x14ac:dyDescent="0.25">
      <c r="A700" t="s">
        <v>205</v>
      </c>
      <c r="B700" t="s">
        <v>6</v>
      </c>
      <c r="C700" t="s">
        <v>7</v>
      </c>
      <c r="D700" t="s">
        <v>13</v>
      </c>
      <c r="E700" s="2">
        <v>43336.09275462963</v>
      </c>
      <c r="F700" t="s">
        <v>591</v>
      </c>
      <c r="G700" t="s">
        <v>318</v>
      </c>
      <c r="H700" t="s">
        <v>385</v>
      </c>
      <c r="I700" t="s">
        <v>497</v>
      </c>
      <c r="J700" t="s">
        <v>497</v>
      </c>
    </row>
    <row r="701" spans="1:10" hidden="1" x14ac:dyDescent="0.25">
      <c r="A701" t="s">
        <v>286</v>
      </c>
      <c r="B701" t="s">
        <v>6</v>
      </c>
      <c r="C701" t="s">
        <v>7</v>
      </c>
      <c r="D701" t="s">
        <v>10</v>
      </c>
      <c r="E701" s="2">
        <v>43336.092997685184</v>
      </c>
      <c r="F701" t="s">
        <v>303</v>
      </c>
      <c r="G701" t="s">
        <v>427</v>
      </c>
      <c r="H701" t="s">
        <v>433</v>
      </c>
      <c r="I701" t="s">
        <v>494</v>
      </c>
      <c r="J701" t="s">
        <v>501</v>
      </c>
    </row>
    <row r="702" spans="1:10" hidden="1" x14ac:dyDescent="0.25">
      <c r="A702" t="s">
        <v>250</v>
      </c>
      <c r="B702" t="s">
        <v>6</v>
      </c>
      <c r="C702" t="s">
        <v>7</v>
      </c>
      <c r="D702" t="s">
        <v>10</v>
      </c>
      <c r="E702" s="2">
        <v>43336.093032407407</v>
      </c>
      <c r="F702" t="s">
        <v>300</v>
      </c>
      <c r="G702" t="s">
        <v>461</v>
      </c>
      <c r="H702" t="s">
        <v>438</v>
      </c>
      <c r="I702" t="s">
        <v>494</v>
      </c>
      <c r="J702" t="s">
        <v>583</v>
      </c>
    </row>
    <row r="703" spans="1:10" hidden="1" x14ac:dyDescent="0.25">
      <c r="A703" t="s">
        <v>105</v>
      </c>
      <c r="B703" t="s">
        <v>6</v>
      </c>
      <c r="C703" t="s">
        <v>7</v>
      </c>
      <c r="D703" t="s">
        <v>13</v>
      </c>
      <c r="E703" s="2">
        <v>43336.093032407407</v>
      </c>
      <c r="F703" t="s">
        <v>299</v>
      </c>
      <c r="G703" t="s">
        <v>318</v>
      </c>
      <c r="H703" t="s">
        <v>461</v>
      </c>
      <c r="I703" t="s">
        <v>545</v>
      </c>
      <c r="J703" t="s">
        <v>497</v>
      </c>
    </row>
    <row r="704" spans="1:10" hidden="1" x14ac:dyDescent="0.25">
      <c r="A704" t="s">
        <v>206</v>
      </c>
      <c r="B704" t="s">
        <v>6</v>
      </c>
      <c r="C704" t="s">
        <v>7</v>
      </c>
      <c r="D704" t="s">
        <v>10</v>
      </c>
      <c r="E704" s="2">
        <v>43336.093136574076</v>
      </c>
      <c r="F704" t="s">
        <v>585</v>
      </c>
      <c r="G704" t="s">
        <v>318</v>
      </c>
      <c r="H704" t="s">
        <v>459</v>
      </c>
      <c r="I704" t="s">
        <v>494</v>
      </c>
      <c r="J704" t="s">
        <v>501</v>
      </c>
    </row>
    <row r="705" spans="1:10" hidden="1" x14ac:dyDescent="0.25">
      <c r="A705" t="s">
        <v>169</v>
      </c>
      <c r="B705" t="s">
        <v>6</v>
      </c>
      <c r="C705" t="s">
        <v>7</v>
      </c>
      <c r="D705" t="s">
        <v>10</v>
      </c>
      <c r="E705" s="2">
        <v>43336.093136574076</v>
      </c>
      <c r="F705" t="s">
        <v>590</v>
      </c>
      <c r="G705" t="s">
        <v>428</v>
      </c>
      <c r="H705" t="s">
        <v>443</v>
      </c>
      <c r="I705" t="s">
        <v>498</v>
      </c>
      <c r="J705" t="s">
        <v>498</v>
      </c>
    </row>
    <row r="706" spans="1:10" hidden="1" x14ac:dyDescent="0.25">
      <c r="A706" t="s">
        <v>331</v>
      </c>
      <c r="B706" t="s">
        <v>6</v>
      </c>
      <c r="C706" t="s">
        <v>7</v>
      </c>
      <c r="D706" t="s">
        <v>10</v>
      </c>
      <c r="E706" s="2">
        <v>43336.093263888892</v>
      </c>
      <c r="F706" t="s">
        <v>587</v>
      </c>
      <c r="G706" t="s">
        <v>457</v>
      </c>
      <c r="H706" t="s">
        <v>437</v>
      </c>
      <c r="I706" t="s">
        <v>574</v>
      </c>
      <c r="J706" t="s">
        <v>491</v>
      </c>
    </row>
    <row r="707" spans="1:10" hidden="1" x14ac:dyDescent="0.25">
      <c r="A707" t="s">
        <v>15</v>
      </c>
      <c r="B707" t="s">
        <v>6</v>
      </c>
      <c r="C707" t="s">
        <v>7</v>
      </c>
      <c r="D707" t="s">
        <v>484</v>
      </c>
      <c r="E707" s="2">
        <v>43336.093287037038</v>
      </c>
      <c r="F707" t="s">
        <v>298</v>
      </c>
      <c r="G707" t="s">
        <v>318</v>
      </c>
      <c r="H707" t="s">
        <v>453</v>
      </c>
      <c r="I707" t="s">
        <v>541</v>
      </c>
      <c r="J707" t="s">
        <v>542</v>
      </c>
    </row>
    <row r="708" spans="1:10" hidden="1" x14ac:dyDescent="0.25">
      <c r="A708" t="s">
        <v>88</v>
      </c>
      <c r="B708" t="s">
        <v>6</v>
      </c>
      <c r="C708" t="s">
        <v>7</v>
      </c>
      <c r="D708" t="s">
        <v>476</v>
      </c>
      <c r="E708" s="2">
        <v>43336.093368055554</v>
      </c>
      <c r="F708" t="s">
        <v>591</v>
      </c>
      <c r="G708" t="s">
        <v>318</v>
      </c>
      <c r="H708" t="s">
        <v>457</v>
      </c>
      <c r="I708" t="s">
        <v>497</v>
      </c>
      <c r="J708" t="s">
        <v>497</v>
      </c>
    </row>
    <row r="709" spans="1:10" hidden="1" x14ac:dyDescent="0.25">
      <c r="A709" t="s">
        <v>309</v>
      </c>
      <c r="B709" t="s">
        <v>306</v>
      </c>
      <c r="C709" t="s">
        <v>306</v>
      </c>
      <c r="D709" t="s">
        <v>307</v>
      </c>
      <c r="E709" s="2">
        <v>43336.093518518515</v>
      </c>
      <c r="F709" t="s">
        <v>586</v>
      </c>
      <c r="G709" t="s">
        <v>318</v>
      </c>
      <c r="H709" t="s">
        <v>427</v>
      </c>
      <c r="I709" t="s">
        <v>490</v>
      </c>
      <c r="J709" t="s">
        <v>491</v>
      </c>
    </row>
    <row r="710" spans="1:10" hidden="1" x14ac:dyDescent="0.25">
      <c r="A710" t="s">
        <v>189</v>
      </c>
      <c r="B710" t="s">
        <v>6</v>
      </c>
      <c r="C710" t="s">
        <v>7</v>
      </c>
      <c r="D710" t="s">
        <v>10</v>
      </c>
      <c r="E710" s="2">
        <v>43336.093622685185</v>
      </c>
      <c r="F710" t="s">
        <v>303</v>
      </c>
      <c r="G710" t="s">
        <v>427</v>
      </c>
      <c r="H710" t="s">
        <v>434</v>
      </c>
      <c r="I710" t="s">
        <v>494</v>
      </c>
      <c r="J710" t="s">
        <v>501</v>
      </c>
    </row>
    <row r="711" spans="1:10" hidden="1" x14ac:dyDescent="0.25">
      <c r="A711" t="s">
        <v>251</v>
      </c>
      <c r="B711" t="s">
        <v>6</v>
      </c>
      <c r="C711" t="s">
        <v>7</v>
      </c>
      <c r="D711" t="s">
        <v>10</v>
      </c>
      <c r="E711" s="2">
        <v>43336.093657407408</v>
      </c>
      <c r="F711" t="s">
        <v>300</v>
      </c>
      <c r="G711" t="s">
        <v>461</v>
      </c>
      <c r="H711" t="s">
        <v>439</v>
      </c>
      <c r="I711" t="s">
        <v>494</v>
      </c>
      <c r="J711" t="s">
        <v>583</v>
      </c>
    </row>
    <row r="712" spans="1:10" hidden="1" x14ac:dyDescent="0.25">
      <c r="A712" t="s">
        <v>117</v>
      </c>
      <c r="B712" t="s">
        <v>6</v>
      </c>
      <c r="C712" t="s">
        <v>7</v>
      </c>
      <c r="D712" t="s">
        <v>10</v>
      </c>
      <c r="E712" s="2">
        <v>43336.0937037037</v>
      </c>
      <c r="F712" t="s">
        <v>299</v>
      </c>
      <c r="G712" t="s">
        <v>318</v>
      </c>
      <c r="H712" t="s">
        <v>462</v>
      </c>
      <c r="I712" t="s">
        <v>492</v>
      </c>
      <c r="J712" t="s">
        <v>547</v>
      </c>
    </row>
    <row r="713" spans="1:10" hidden="1" x14ac:dyDescent="0.25">
      <c r="A713" t="s">
        <v>199</v>
      </c>
      <c r="B713" t="s">
        <v>6</v>
      </c>
      <c r="C713" t="s">
        <v>7</v>
      </c>
      <c r="D713" t="s">
        <v>10</v>
      </c>
      <c r="E713" s="2">
        <v>43336.09375</v>
      </c>
      <c r="F713" t="s">
        <v>590</v>
      </c>
      <c r="G713" t="s">
        <v>428</v>
      </c>
      <c r="H713" t="s">
        <v>444</v>
      </c>
      <c r="I713" t="s">
        <v>498</v>
      </c>
      <c r="J713" t="s">
        <v>498</v>
      </c>
    </row>
    <row r="714" spans="1:10" hidden="1" x14ac:dyDescent="0.25">
      <c r="A714" t="s">
        <v>48</v>
      </c>
      <c r="B714" t="s">
        <v>6</v>
      </c>
      <c r="C714" t="s">
        <v>7</v>
      </c>
      <c r="D714" t="s">
        <v>10</v>
      </c>
      <c r="E714" s="2">
        <v>43336.093784722223</v>
      </c>
      <c r="F714" t="s">
        <v>585</v>
      </c>
      <c r="G714" t="s">
        <v>318</v>
      </c>
      <c r="H714" t="s">
        <v>460</v>
      </c>
      <c r="I714" t="s">
        <v>494</v>
      </c>
      <c r="J714" t="s">
        <v>501</v>
      </c>
    </row>
    <row r="715" spans="1:10" hidden="1" x14ac:dyDescent="0.25">
      <c r="A715" t="s">
        <v>349</v>
      </c>
      <c r="B715" t="s">
        <v>6</v>
      </c>
      <c r="C715" t="s">
        <v>7</v>
      </c>
      <c r="D715" t="s">
        <v>10</v>
      </c>
      <c r="E715" s="2">
        <v>43336.093877314815</v>
      </c>
      <c r="F715" t="s">
        <v>587</v>
      </c>
      <c r="G715" t="s">
        <v>457</v>
      </c>
      <c r="H715" t="s">
        <v>438</v>
      </c>
      <c r="I715" t="s">
        <v>575</v>
      </c>
      <c r="J715" t="s">
        <v>491</v>
      </c>
    </row>
    <row r="716" spans="1:10" hidden="1" x14ac:dyDescent="0.25">
      <c r="A716" t="s">
        <v>159</v>
      </c>
      <c r="B716" t="s">
        <v>6</v>
      </c>
      <c r="C716" t="s">
        <v>7</v>
      </c>
      <c r="D716" t="s">
        <v>10</v>
      </c>
      <c r="E716" s="2">
        <v>43336.093912037039</v>
      </c>
      <c r="F716" t="s">
        <v>298</v>
      </c>
      <c r="G716" t="s">
        <v>318</v>
      </c>
      <c r="H716" t="s">
        <v>454</v>
      </c>
      <c r="I716" t="s">
        <v>492</v>
      </c>
      <c r="J716" t="s">
        <v>493</v>
      </c>
    </row>
    <row r="717" spans="1:10" hidden="1" x14ac:dyDescent="0.25">
      <c r="A717" t="s">
        <v>96</v>
      </c>
      <c r="B717" t="s">
        <v>6</v>
      </c>
      <c r="C717" t="s">
        <v>7</v>
      </c>
      <c r="D717" t="s">
        <v>13</v>
      </c>
      <c r="E717" s="2">
        <v>43336.094108796293</v>
      </c>
      <c r="F717" t="s">
        <v>591</v>
      </c>
      <c r="G717" t="s">
        <v>318</v>
      </c>
      <c r="H717" t="s">
        <v>458</v>
      </c>
      <c r="I717" t="s">
        <v>497</v>
      </c>
      <c r="J717" t="s">
        <v>497</v>
      </c>
    </row>
    <row r="718" spans="1:10" hidden="1" x14ac:dyDescent="0.25">
      <c r="A718" t="s">
        <v>211</v>
      </c>
      <c r="B718" t="s">
        <v>6</v>
      </c>
      <c r="C718" t="s">
        <v>7</v>
      </c>
      <c r="D718" t="s">
        <v>10</v>
      </c>
      <c r="E718" s="2">
        <v>43336.094201388885</v>
      </c>
      <c r="F718" t="s">
        <v>303</v>
      </c>
      <c r="G718" t="s">
        <v>427</v>
      </c>
      <c r="H718" t="s">
        <v>435</v>
      </c>
      <c r="I718" t="s">
        <v>494</v>
      </c>
      <c r="J718" t="s">
        <v>501</v>
      </c>
    </row>
    <row r="719" spans="1:10" hidden="1" x14ac:dyDescent="0.25">
      <c r="A719" t="s">
        <v>252</v>
      </c>
      <c r="B719" t="s">
        <v>6</v>
      </c>
      <c r="C719" t="s">
        <v>7</v>
      </c>
      <c r="D719" t="s">
        <v>10</v>
      </c>
      <c r="E719" s="2">
        <v>43336.094293981485</v>
      </c>
      <c r="F719" t="s">
        <v>300</v>
      </c>
      <c r="G719" t="s">
        <v>461</v>
      </c>
      <c r="H719" t="s">
        <v>440</v>
      </c>
      <c r="I719" t="s">
        <v>494</v>
      </c>
      <c r="J719" t="s">
        <v>583</v>
      </c>
    </row>
    <row r="720" spans="1:10" hidden="1" x14ac:dyDescent="0.25">
      <c r="A720" t="s">
        <v>151</v>
      </c>
      <c r="B720" t="s">
        <v>6</v>
      </c>
      <c r="C720" t="s">
        <v>7</v>
      </c>
      <c r="D720" t="s">
        <v>10</v>
      </c>
      <c r="E720" s="2">
        <v>43336.094351851854</v>
      </c>
      <c r="F720" t="s">
        <v>299</v>
      </c>
      <c r="G720" t="s">
        <v>318</v>
      </c>
      <c r="H720" t="s">
        <v>453</v>
      </c>
      <c r="I720" t="s">
        <v>492</v>
      </c>
      <c r="J720" t="s">
        <v>546</v>
      </c>
    </row>
    <row r="721" spans="1:10" hidden="1" x14ac:dyDescent="0.25">
      <c r="A721" t="s">
        <v>74</v>
      </c>
      <c r="B721" t="s">
        <v>6</v>
      </c>
      <c r="C721" t="s">
        <v>7</v>
      </c>
      <c r="D721" t="s">
        <v>10</v>
      </c>
      <c r="E721" s="2">
        <v>43336.094386574077</v>
      </c>
      <c r="F721" t="s">
        <v>590</v>
      </c>
      <c r="G721" t="s">
        <v>428</v>
      </c>
      <c r="H721" t="s">
        <v>445</v>
      </c>
      <c r="I721" t="s">
        <v>498</v>
      </c>
      <c r="J721" t="s">
        <v>498</v>
      </c>
    </row>
    <row r="722" spans="1:10" hidden="1" x14ac:dyDescent="0.25">
      <c r="A722" t="s">
        <v>191</v>
      </c>
      <c r="B722" t="s">
        <v>6</v>
      </c>
      <c r="C722" t="s">
        <v>7</v>
      </c>
      <c r="D722" t="s">
        <v>10</v>
      </c>
      <c r="E722" s="2">
        <v>43336.094398148147</v>
      </c>
      <c r="F722" t="s">
        <v>585</v>
      </c>
      <c r="G722" t="s">
        <v>318</v>
      </c>
      <c r="H722" t="s">
        <v>461</v>
      </c>
      <c r="I722" t="s">
        <v>494</v>
      </c>
      <c r="J722" t="s">
        <v>501</v>
      </c>
    </row>
    <row r="723" spans="1:10" hidden="1" x14ac:dyDescent="0.25">
      <c r="A723" t="s">
        <v>332</v>
      </c>
      <c r="B723" t="s">
        <v>6</v>
      </c>
      <c r="C723" t="s">
        <v>7</v>
      </c>
      <c r="D723" t="s">
        <v>10</v>
      </c>
      <c r="E723" s="2">
        <v>43336.094490740739</v>
      </c>
      <c r="F723" t="s">
        <v>587</v>
      </c>
      <c r="G723" t="s">
        <v>457</v>
      </c>
      <c r="H723" t="s">
        <v>439</v>
      </c>
      <c r="I723" t="s">
        <v>577</v>
      </c>
      <c r="J723" t="s">
        <v>491</v>
      </c>
    </row>
    <row r="724" spans="1:10" hidden="1" x14ac:dyDescent="0.25">
      <c r="A724" t="s">
        <v>72</v>
      </c>
      <c r="B724" t="s">
        <v>6</v>
      </c>
      <c r="C724" t="s">
        <v>7</v>
      </c>
      <c r="D724" t="s">
        <v>13</v>
      </c>
      <c r="E724" s="2">
        <v>43336.094837962963</v>
      </c>
      <c r="F724" t="s">
        <v>591</v>
      </c>
      <c r="G724" t="s">
        <v>318</v>
      </c>
      <c r="H724" t="s">
        <v>459</v>
      </c>
      <c r="I724" t="s">
        <v>497</v>
      </c>
      <c r="J724" t="s">
        <v>497</v>
      </c>
    </row>
    <row r="725" spans="1:10" hidden="1" x14ac:dyDescent="0.25">
      <c r="A725" t="s">
        <v>141</v>
      </c>
      <c r="B725" t="s">
        <v>6</v>
      </c>
      <c r="C725" t="s">
        <v>7</v>
      </c>
      <c r="D725" t="s">
        <v>10</v>
      </c>
      <c r="E725" s="2">
        <v>43336.094907407409</v>
      </c>
      <c r="F725" t="s">
        <v>303</v>
      </c>
      <c r="G725" t="s">
        <v>427</v>
      </c>
      <c r="H725" t="s">
        <v>436</v>
      </c>
      <c r="I725" t="s">
        <v>494</v>
      </c>
      <c r="J725" t="s">
        <v>501</v>
      </c>
    </row>
    <row r="726" spans="1:10" hidden="1" x14ac:dyDescent="0.25">
      <c r="A726" t="s">
        <v>253</v>
      </c>
      <c r="B726" t="s">
        <v>6</v>
      </c>
      <c r="C726" t="s">
        <v>7</v>
      </c>
      <c r="D726" t="s">
        <v>10</v>
      </c>
      <c r="E726" s="2">
        <v>43336.094918981478</v>
      </c>
      <c r="F726" t="s">
        <v>300</v>
      </c>
      <c r="G726" t="s">
        <v>461</v>
      </c>
      <c r="H726" t="s">
        <v>441</v>
      </c>
      <c r="I726" t="s">
        <v>494</v>
      </c>
      <c r="J726" t="s">
        <v>583</v>
      </c>
    </row>
    <row r="727" spans="1:10" hidden="1" x14ac:dyDescent="0.25">
      <c r="A727" t="s">
        <v>108</v>
      </c>
      <c r="B727" t="s">
        <v>6</v>
      </c>
      <c r="C727" t="s">
        <v>7</v>
      </c>
      <c r="D727" t="s">
        <v>10</v>
      </c>
      <c r="E727" s="2">
        <v>43336.094988425924</v>
      </c>
      <c r="F727" t="s">
        <v>299</v>
      </c>
      <c r="G727" t="s">
        <v>318</v>
      </c>
      <c r="H727" t="s">
        <v>454</v>
      </c>
      <c r="I727" t="s">
        <v>492</v>
      </c>
      <c r="J727" t="s">
        <v>546</v>
      </c>
    </row>
    <row r="728" spans="1:10" hidden="1" x14ac:dyDescent="0.25">
      <c r="A728" t="s">
        <v>47</v>
      </c>
      <c r="B728" t="s">
        <v>6</v>
      </c>
      <c r="C728" t="s">
        <v>7</v>
      </c>
      <c r="D728" t="s">
        <v>10</v>
      </c>
      <c r="E728" s="2">
        <v>43336.095034722224</v>
      </c>
      <c r="F728" t="s">
        <v>585</v>
      </c>
      <c r="G728" t="s">
        <v>318</v>
      </c>
      <c r="H728" t="s">
        <v>462</v>
      </c>
      <c r="I728" t="s">
        <v>494</v>
      </c>
      <c r="J728" t="s">
        <v>501</v>
      </c>
    </row>
    <row r="729" spans="1:10" hidden="1" x14ac:dyDescent="0.25">
      <c r="A729" t="s">
        <v>350</v>
      </c>
      <c r="B729" t="s">
        <v>6</v>
      </c>
      <c r="C729" t="s">
        <v>7</v>
      </c>
      <c r="D729" t="s">
        <v>10</v>
      </c>
      <c r="E729" s="2">
        <v>43336.095104166663</v>
      </c>
      <c r="F729" t="s">
        <v>587</v>
      </c>
      <c r="G729" t="s">
        <v>457</v>
      </c>
      <c r="H729" t="s">
        <v>440</v>
      </c>
      <c r="I729" t="s">
        <v>576</v>
      </c>
      <c r="J729" t="s">
        <v>491</v>
      </c>
    </row>
    <row r="730" spans="1:10" hidden="1" x14ac:dyDescent="0.25">
      <c r="A730" t="s">
        <v>77</v>
      </c>
      <c r="B730" t="s">
        <v>6</v>
      </c>
      <c r="C730" t="s">
        <v>7</v>
      </c>
      <c r="D730" t="s">
        <v>13</v>
      </c>
      <c r="E730" s="2">
        <v>43336.095127314817</v>
      </c>
      <c r="F730" t="s">
        <v>590</v>
      </c>
      <c r="G730" t="s">
        <v>428</v>
      </c>
      <c r="H730" t="s">
        <v>446</v>
      </c>
      <c r="I730" t="s">
        <v>498</v>
      </c>
      <c r="J730" t="s">
        <v>498</v>
      </c>
    </row>
    <row r="731" spans="1:10" hidden="1" x14ac:dyDescent="0.25">
      <c r="A731" t="s">
        <v>166</v>
      </c>
      <c r="B731" t="s">
        <v>6</v>
      </c>
      <c r="C731" t="s">
        <v>7</v>
      </c>
      <c r="D731" t="s">
        <v>8</v>
      </c>
      <c r="E731" s="2">
        <v>43336.095300925925</v>
      </c>
      <c r="F731" t="s">
        <v>298</v>
      </c>
      <c r="G731" t="s">
        <v>318</v>
      </c>
      <c r="H731" t="s">
        <v>455</v>
      </c>
      <c r="I731" t="s">
        <v>492</v>
      </c>
      <c r="J731" t="s">
        <v>493</v>
      </c>
    </row>
    <row r="732" spans="1:10" hidden="1" x14ac:dyDescent="0.25">
      <c r="A732" t="s">
        <v>127</v>
      </c>
      <c r="B732" t="s">
        <v>6</v>
      </c>
      <c r="C732" t="s">
        <v>7</v>
      </c>
      <c r="D732" t="s">
        <v>10</v>
      </c>
      <c r="E732" s="2">
        <v>43336.095520833333</v>
      </c>
      <c r="F732" t="s">
        <v>303</v>
      </c>
      <c r="G732" t="s">
        <v>427</v>
      </c>
      <c r="H732" t="s">
        <v>437</v>
      </c>
      <c r="I732" t="s">
        <v>494</v>
      </c>
      <c r="J732" t="s">
        <v>501</v>
      </c>
    </row>
    <row r="733" spans="1:10" hidden="1" x14ac:dyDescent="0.25">
      <c r="A733" t="s">
        <v>254</v>
      </c>
      <c r="B733" t="s">
        <v>6</v>
      </c>
      <c r="C733" t="s">
        <v>7</v>
      </c>
      <c r="D733" t="s">
        <v>10</v>
      </c>
      <c r="E733" s="2">
        <v>43336.095532407409</v>
      </c>
      <c r="F733" t="s">
        <v>300</v>
      </c>
      <c r="G733" t="s">
        <v>461</v>
      </c>
      <c r="H733" t="s">
        <v>442</v>
      </c>
      <c r="I733" t="s">
        <v>494</v>
      </c>
      <c r="J733" t="s">
        <v>583</v>
      </c>
    </row>
    <row r="734" spans="1:10" hidden="1" x14ac:dyDescent="0.25">
      <c r="A734" t="s">
        <v>122</v>
      </c>
      <c r="B734" t="s">
        <v>6</v>
      </c>
      <c r="C734" t="s">
        <v>7</v>
      </c>
      <c r="D734" t="s">
        <v>13</v>
      </c>
      <c r="E734" s="2">
        <v>43336.095601851855</v>
      </c>
      <c r="F734" t="s">
        <v>591</v>
      </c>
      <c r="G734" t="s">
        <v>318</v>
      </c>
      <c r="H734" t="s">
        <v>460</v>
      </c>
      <c r="I734" t="s">
        <v>497</v>
      </c>
      <c r="J734" t="s">
        <v>497</v>
      </c>
    </row>
    <row r="735" spans="1:10" hidden="1" x14ac:dyDescent="0.25">
      <c r="A735" t="s">
        <v>45</v>
      </c>
      <c r="B735" t="s">
        <v>6</v>
      </c>
      <c r="C735" t="s">
        <v>7</v>
      </c>
      <c r="D735" t="s">
        <v>10</v>
      </c>
      <c r="E735" s="2">
        <v>43336.095694444448</v>
      </c>
      <c r="F735" t="s">
        <v>585</v>
      </c>
      <c r="G735" t="s">
        <v>318</v>
      </c>
      <c r="H735" t="s">
        <v>453</v>
      </c>
      <c r="I735" t="s">
        <v>494</v>
      </c>
      <c r="J735" t="s">
        <v>501</v>
      </c>
    </row>
    <row r="736" spans="1:10" hidden="1" x14ac:dyDescent="0.25">
      <c r="A736" t="s">
        <v>101</v>
      </c>
      <c r="B736" t="s">
        <v>6</v>
      </c>
      <c r="C736" t="s">
        <v>7</v>
      </c>
      <c r="D736" t="s">
        <v>10</v>
      </c>
      <c r="E736" s="2">
        <v>43336.095717592594</v>
      </c>
      <c r="F736" t="s">
        <v>299</v>
      </c>
      <c r="G736" t="s">
        <v>318</v>
      </c>
      <c r="H736" t="s">
        <v>455</v>
      </c>
      <c r="I736" t="s">
        <v>492</v>
      </c>
      <c r="J736" t="s">
        <v>546</v>
      </c>
    </row>
    <row r="737" spans="1:10" hidden="1" x14ac:dyDescent="0.25">
      <c r="A737" t="s">
        <v>26</v>
      </c>
      <c r="B737" t="s">
        <v>6</v>
      </c>
      <c r="C737" t="s">
        <v>7</v>
      </c>
      <c r="D737" t="s">
        <v>13</v>
      </c>
      <c r="E737" s="2">
        <v>43336.095879629633</v>
      </c>
      <c r="F737" t="s">
        <v>590</v>
      </c>
      <c r="G737" t="s">
        <v>428</v>
      </c>
      <c r="H737" t="s">
        <v>447</v>
      </c>
      <c r="I737" t="s">
        <v>498</v>
      </c>
      <c r="J737" t="s">
        <v>498</v>
      </c>
    </row>
    <row r="738" spans="1:10" hidden="1" x14ac:dyDescent="0.25">
      <c r="A738" t="s">
        <v>334</v>
      </c>
      <c r="B738" t="s">
        <v>6</v>
      </c>
      <c r="C738" t="s">
        <v>7</v>
      </c>
      <c r="D738" t="s">
        <v>27</v>
      </c>
      <c r="E738" s="2">
        <v>43336.095891203702</v>
      </c>
      <c r="F738" t="s">
        <v>587</v>
      </c>
      <c r="G738" t="s">
        <v>457</v>
      </c>
      <c r="H738" t="s">
        <v>441</v>
      </c>
      <c r="I738" t="s">
        <v>578</v>
      </c>
      <c r="J738" t="s">
        <v>491</v>
      </c>
    </row>
    <row r="739" spans="1:10" hidden="1" x14ac:dyDescent="0.25">
      <c r="A739" t="s">
        <v>180</v>
      </c>
      <c r="B739" t="s">
        <v>6</v>
      </c>
      <c r="C739" t="s">
        <v>7</v>
      </c>
      <c r="D739" t="s">
        <v>10</v>
      </c>
      <c r="E739" s="2">
        <v>43336.095914351848</v>
      </c>
      <c r="F739" t="s">
        <v>298</v>
      </c>
      <c r="G739" t="s">
        <v>318</v>
      </c>
      <c r="H739" t="s">
        <v>456</v>
      </c>
      <c r="I739" t="s">
        <v>492</v>
      </c>
      <c r="J739" t="s">
        <v>493</v>
      </c>
    </row>
    <row r="740" spans="1:10" hidden="1" x14ac:dyDescent="0.25">
      <c r="A740" t="s">
        <v>210</v>
      </c>
      <c r="B740" t="s">
        <v>6</v>
      </c>
      <c r="C740" t="s">
        <v>7</v>
      </c>
      <c r="D740" t="s">
        <v>10</v>
      </c>
      <c r="E740" s="2">
        <v>43336.096134259256</v>
      </c>
      <c r="F740" t="s">
        <v>303</v>
      </c>
      <c r="G740" t="s">
        <v>427</v>
      </c>
      <c r="H740" t="s">
        <v>438</v>
      </c>
      <c r="I740" t="s">
        <v>494</v>
      </c>
      <c r="J740" t="s">
        <v>501</v>
      </c>
    </row>
    <row r="741" spans="1:10" hidden="1" x14ac:dyDescent="0.25">
      <c r="A741" t="s">
        <v>255</v>
      </c>
      <c r="B741" t="s">
        <v>6</v>
      </c>
      <c r="C741" t="s">
        <v>7</v>
      </c>
      <c r="D741" t="s">
        <v>10</v>
      </c>
      <c r="E741" s="2">
        <v>43336.09615740741</v>
      </c>
      <c r="F741" t="s">
        <v>300</v>
      </c>
      <c r="G741" t="s">
        <v>461</v>
      </c>
      <c r="H741" t="s">
        <v>443</v>
      </c>
      <c r="I741" t="s">
        <v>494</v>
      </c>
      <c r="J741" t="s">
        <v>583</v>
      </c>
    </row>
    <row r="742" spans="1:10" hidden="1" x14ac:dyDescent="0.25">
      <c r="A742" t="s">
        <v>310</v>
      </c>
      <c r="B742" t="s">
        <v>306</v>
      </c>
      <c r="C742" t="s">
        <v>306</v>
      </c>
      <c r="D742" t="s">
        <v>307</v>
      </c>
      <c r="E742" s="2">
        <v>43336.096307870372</v>
      </c>
      <c r="F742" t="s">
        <v>586</v>
      </c>
      <c r="G742" t="s">
        <v>318</v>
      </c>
      <c r="H742" t="s">
        <v>428</v>
      </c>
      <c r="I742" t="s">
        <v>490</v>
      </c>
      <c r="J742" t="s">
        <v>491</v>
      </c>
    </row>
    <row r="743" spans="1:10" hidden="1" x14ac:dyDescent="0.25">
      <c r="A743" t="s">
        <v>146</v>
      </c>
      <c r="B743" t="s">
        <v>6</v>
      </c>
      <c r="C743" t="s">
        <v>7</v>
      </c>
      <c r="D743" t="s">
        <v>10</v>
      </c>
      <c r="E743" s="2">
        <v>43336.096319444441</v>
      </c>
      <c r="F743" t="s">
        <v>585</v>
      </c>
      <c r="G743" t="s">
        <v>318</v>
      </c>
      <c r="H743" t="s">
        <v>454</v>
      </c>
      <c r="I743" t="s">
        <v>494</v>
      </c>
      <c r="J743" t="s">
        <v>501</v>
      </c>
    </row>
    <row r="744" spans="1:10" hidden="1" x14ac:dyDescent="0.25">
      <c r="A744" t="s">
        <v>204</v>
      </c>
      <c r="B744" t="s">
        <v>6</v>
      </c>
      <c r="C744" t="s">
        <v>7</v>
      </c>
      <c r="D744" t="s">
        <v>10</v>
      </c>
      <c r="E744" s="2">
        <v>43336.096354166664</v>
      </c>
      <c r="F744" t="s">
        <v>299</v>
      </c>
      <c r="G744" t="s">
        <v>318</v>
      </c>
      <c r="H744" t="s">
        <v>456</v>
      </c>
      <c r="I744" t="s">
        <v>492</v>
      </c>
      <c r="J744" t="s">
        <v>546</v>
      </c>
    </row>
    <row r="745" spans="1:10" hidden="1" x14ac:dyDescent="0.25">
      <c r="A745" t="s">
        <v>181</v>
      </c>
      <c r="B745" t="s">
        <v>6</v>
      </c>
      <c r="C745" t="s">
        <v>7</v>
      </c>
      <c r="D745" t="s">
        <v>13</v>
      </c>
      <c r="E745" s="2">
        <v>43336.096354166664</v>
      </c>
      <c r="F745" t="s">
        <v>591</v>
      </c>
      <c r="G745" t="s">
        <v>318</v>
      </c>
      <c r="H745" t="s">
        <v>461</v>
      </c>
      <c r="I745" t="s">
        <v>497</v>
      </c>
      <c r="J745" t="s">
        <v>497</v>
      </c>
    </row>
    <row r="746" spans="1:10" hidden="1" x14ac:dyDescent="0.25">
      <c r="A746" t="s">
        <v>281</v>
      </c>
      <c r="B746" t="s">
        <v>6</v>
      </c>
      <c r="C746" t="s">
        <v>7</v>
      </c>
      <c r="D746" t="s">
        <v>10</v>
      </c>
      <c r="E746" s="2">
        <v>43336.09648148148</v>
      </c>
      <c r="F746" t="s">
        <v>590</v>
      </c>
      <c r="G746" t="s">
        <v>428</v>
      </c>
      <c r="H746" t="s">
        <v>448</v>
      </c>
      <c r="I746" t="s">
        <v>499</v>
      </c>
      <c r="J746" t="s">
        <v>497</v>
      </c>
    </row>
    <row r="747" spans="1:10" hidden="1" x14ac:dyDescent="0.25">
      <c r="A747" t="s">
        <v>351</v>
      </c>
      <c r="B747" t="s">
        <v>6</v>
      </c>
      <c r="C747" t="s">
        <v>7</v>
      </c>
      <c r="D747" t="s">
        <v>10</v>
      </c>
      <c r="E747" s="2">
        <v>43336.09652777778</v>
      </c>
      <c r="F747" t="s">
        <v>587</v>
      </c>
      <c r="G747" t="s">
        <v>457</v>
      </c>
      <c r="H747" t="s">
        <v>442</v>
      </c>
      <c r="I747" t="s">
        <v>580</v>
      </c>
      <c r="J747" t="s">
        <v>491</v>
      </c>
    </row>
    <row r="748" spans="1:10" hidden="1" x14ac:dyDescent="0.25">
      <c r="A748" t="s">
        <v>160</v>
      </c>
      <c r="B748" t="s">
        <v>6</v>
      </c>
      <c r="C748" t="s">
        <v>7</v>
      </c>
      <c r="D748" t="s">
        <v>10</v>
      </c>
      <c r="E748" s="2">
        <v>43336.09652777778</v>
      </c>
      <c r="F748" t="s">
        <v>298</v>
      </c>
      <c r="G748" t="s">
        <v>318</v>
      </c>
      <c r="H748" t="s">
        <v>426</v>
      </c>
      <c r="I748" t="s">
        <v>492</v>
      </c>
      <c r="J748" t="s">
        <v>493</v>
      </c>
    </row>
    <row r="749" spans="1:10" hidden="1" x14ac:dyDescent="0.25">
      <c r="A749" t="s">
        <v>244</v>
      </c>
      <c r="B749" t="s">
        <v>6</v>
      </c>
      <c r="C749" t="s">
        <v>7</v>
      </c>
      <c r="D749" t="s">
        <v>10</v>
      </c>
      <c r="E749" s="2">
        <v>43336.096759259257</v>
      </c>
      <c r="F749" t="s">
        <v>300</v>
      </c>
      <c r="G749" t="s">
        <v>461</v>
      </c>
      <c r="H749" t="s">
        <v>444</v>
      </c>
      <c r="I749" t="s">
        <v>494</v>
      </c>
      <c r="J749" t="s">
        <v>583</v>
      </c>
    </row>
    <row r="750" spans="1:10" hidden="1" x14ac:dyDescent="0.25">
      <c r="A750" t="s">
        <v>209</v>
      </c>
      <c r="B750" t="s">
        <v>6</v>
      </c>
      <c r="C750" t="s">
        <v>7</v>
      </c>
      <c r="D750" t="s">
        <v>10</v>
      </c>
      <c r="E750" s="2">
        <v>43336.096770833334</v>
      </c>
      <c r="F750" t="s">
        <v>303</v>
      </c>
      <c r="G750" t="s">
        <v>427</v>
      </c>
      <c r="H750" t="s">
        <v>439</v>
      </c>
      <c r="I750" t="s">
        <v>494</v>
      </c>
      <c r="J750" t="s">
        <v>501</v>
      </c>
    </row>
    <row r="751" spans="1:10" hidden="1" x14ac:dyDescent="0.25">
      <c r="A751" t="s">
        <v>291</v>
      </c>
      <c r="B751" t="s">
        <v>6</v>
      </c>
      <c r="C751" t="s">
        <v>7</v>
      </c>
      <c r="D751" t="s">
        <v>10</v>
      </c>
      <c r="E751" s="2">
        <v>43336.096932870372</v>
      </c>
      <c r="F751" t="s">
        <v>585</v>
      </c>
      <c r="G751" t="s">
        <v>318</v>
      </c>
      <c r="H751" t="s">
        <v>455</v>
      </c>
      <c r="I751" t="s">
        <v>494</v>
      </c>
      <c r="J751" t="s">
        <v>501</v>
      </c>
    </row>
    <row r="752" spans="1:10" hidden="1" x14ac:dyDescent="0.25">
      <c r="A752" t="s">
        <v>80</v>
      </c>
      <c r="B752" t="s">
        <v>6</v>
      </c>
      <c r="C752" t="s">
        <v>7</v>
      </c>
      <c r="D752" t="s">
        <v>476</v>
      </c>
      <c r="E752" s="2">
        <v>43336.096967592595</v>
      </c>
      <c r="F752" t="s">
        <v>591</v>
      </c>
      <c r="G752" t="s">
        <v>318</v>
      </c>
      <c r="H752" t="s">
        <v>462</v>
      </c>
      <c r="I752" t="s">
        <v>497</v>
      </c>
      <c r="J752" t="s">
        <v>497</v>
      </c>
    </row>
    <row r="753" spans="1:10" hidden="1" x14ac:dyDescent="0.25">
      <c r="A753" t="s">
        <v>118</v>
      </c>
      <c r="B753" t="s">
        <v>6</v>
      </c>
      <c r="C753" t="s">
        <v>7</v>
      </c>
      <c r="D753" t="s">
        <v>10</v>
      </c>
      <c r="E753" s="2">
        <v>43336.097013888888</v>
      </c>
      <c r="F753" t="s">
        <v>299</v>
      </c>
      <c r="G753" t="s">
        <v>318</v>
      </c>
      <c r="H753" t="s">
        <v>426</v>
      </c>
      <c r="I753" t="s">
        <v>492</v>
      </c>
      <c r="J753" t="s">
        <v>546</v>
      </c>
    </row>
    <row r="754" spans="1:10" hidden="1" x14ac:dyDescent="0.25">
      <c r="A754" t="s">
        <v>115</v>
      </c>
      <c r="B754" t="s">
        <v>6</v>
      </c>
      <c r="C754" t="s">
        <v>7</v>
      </c>
      <c r="D754" t="s">
        <v>10</v>
      </c>
      <c r="E754" s="2">
        <v>43336.09710648148</v>
      </c>
      <c r="F754" t="s">
        <v>590</v>
      </c>
      <c r="G754" t="s">
        <v>428</v>
      </c>
      <c r="H754" t="s">
        <v>449</v>
      </c>
      <c r="I754" t="s">
        <v>499</v>
      </c>
      <c r="J754" t="s">
        <v>497</v>
      </c>
    </row>
    <row r="755" spans="1:10" hidden="1" x14ac:dyDescent="0.25">
      <c r="A755" t="s">
        <v>352</v>
      </c>
      <c r="B755" t="s">
        <v>6</v>
      </c>
      <c r="C755" t="s">
        <v>7</v>
      </c>
      <c r="D755" t="s">
        <v>10</v>
      </c>
      <c r="E755" s="2">
        <v>43336.097118055557</v>
      </c>
      <c r="F755" t="s">
        <v>587</v>
      </c>
      <c r="G755" t="s">
        <v>457</v>
      </c>
      <c r="H755" t="s">
        <v>443</v>
      </c>
      <c r="I755" t="s">
        <v>579</v>
      </c>
      <c r="J755" t="s">
        <v>491</v>
      </c>
    </row>
    <row r="756" spans="1:10" hidden="1" x14ac:dyDescent="0.25">
      <c r="A756" t="s">
        <v>157</v>
      </c>
      <c r="B756" t="s">
        <v>6</v>
      </c>
      <c r="C756" t="s">
        <v>7</v>
      </c>
      <c r="D756" t="s">
        <v>13</v>
      </c>
      <c r="E756" s="2">
        <v>43336.097245370373</v>
      </c>
      <c r="F756" t="s">
        <v>298</v>
      </c>
      <c r="G756" t="s">
        <v>318</v>
      </c>
      <c r="H756" t="s">
        <v>427</v>
      </c>
      <c r="I756" t="s">
        <v>13</v>
      </c>
      <c r="J756" t="s">
        <v>535</v>
      </c>
    </row>
    <row r="757" spans="1:10" hidden="1" x14ac:dyDescent="0.25">
      <c r="A757" t="s">
        <v>256</v>
      </c>
      <c r="B757" t="s">
        <v>6</v>
      </c>
      <c r="C757" t="s">
        <v>7</v>
      </c>
      <c r="D757" t="s">
        <v>10</v>
      </c>
      <c r="E757" s="2">
        <v>43336.097384259258</v>
      </c>
      <c r="F757" t="s">
        <v>300</v>
      </c>
      <c r="G757" t="s">
        <v>461</v>
      </c>
      <c r="H757" t="s">
        <v>445</v>
      </c>
      <c r="I757" t="s">
        <v>494</v>
      </c>
      <c r="J757" t="s">
        <v>583</v>
      </c>
    </row>
    <row r="758" spans="1:10" hidden="1" x14ac:dyDescent="0.25">
      <c r="A758" t="s">
        <v>179</v>
      </c>
      <c r="B758" t="s">
        <v>6</v>
      </c>
      <c r="C758" t="s">
        <v>7</v>
      </c>
      <c r="D758" t="s">
        <v>10</v>
      </c>
      <c r="E758" s="2">
        <v>43336.097395833334</v>
      </c>
      <c r="F758" t="s">
        <v>303</v>
      </c>
      <c r="G758" t="s">
        <v>427</v>
      </c>
      <c r="H758" t="s">
        <v>440</v>
      </c>
      <c r="I758" t="s">
        <v>494</v>
      </c>
      <c r="J758" t="s">
        <v>501</v>
      </c>
    </row>
    <row r="759" spans="1:10" hidden="1" x14ac:dyDescent="0.25">
      <c r="A759" t="s">
        <v>292</v>
      </c>
      <c r="B759" t="s">
        <v>6</v>
      </c>
      <c r="C759" t="s">
        <v>7</v>
      </c>
      <c r="D759" t="s">
        <v>10</v>
      </c>
      <c r="E759" s="2">
        <v>43336.097534722219</v>
      </c>
      <c r="F759" t="s">
        <v>585</v>
      </c>
      <c r="G759" t="s">
        <v>318</v>
      </c>
      <c r="H759" t="s">
        <v>456</v>
      </c>
      <c r="I759" t="s">
        <v>494</v>
      </c>
      <c r="J759" t="s">
        <v>501</v>
      </c>
    </row>
    <row r="760" spans="1:10" hidden="1" x14ac:dyDescent="0.25">
      <c r="A760" t="s">
        <v>79</v>
      </c>
      <c r="B760" t="s">
        <v>6</v>
      </c>
      <c r="C760" t="s">
        <v>7</v>
      </c>
      <c r="D760" t="s">
        <v>10</v>
      </c>
      <c r="E760" s="2">
        <v>43336.097662037035</v>
      </c>
      <c r="F760" t="s">
        <v>299</v>
      </c>
      <c r="G760" t="s">
        <v>318</v>
      </c>
      <c r="H760" t="s">
        <v>427</v>
      </c>
      <c r="I760" t="s">
        <v>492</v>
      </c>
      <c r="J760" t="s">
        <v>546</v>
      </c>
    </row>
    <row r="761" spans="1:10" hidden="1" x14ac:dyDescent="0.25">
      <c r="A761" t="s">
        <v>186</v>
      </c>
      <c r="B761" t="s">
        <v>6</v>
      </c>
      <c r="C761" t="s">
        <v>7</v>
      </c>
      <c r="D761" t="s">
        <v>476</v>
      </c>
      <c r="E761" s="2">
        <v>43336.097696759258</v>
      </c>
      <c r="F761" t="s">
        <v>590</v>
      </c>
      <c r="G761" t="s">
        <v>428</v>
      </c>
      <c r="H761" t="s">
        <v>450</v>
      </c>
      <c r="I761" t="s">
        <v>496</v>
      </c>
      <c r="J761" t="s">
        <v>497</v>
      </c>
    </row>
    <row r="762" spans="1:10" hidden="1" x14ac:dyDescent="0.25">
      <c r="A762" t="s">
        <v>395</v>
      </c>
      <c r="B762" t="s">
        <v>6</v>
      </c>
      <c r="C762" t="s">
        <v>7</v>
      </c>
      <c r="D762" t="s">
        <v>13</v>
      </c>
      <c r="E762" s="2">
        <v>43336.097719907404</v>
      </c>
      <c r="F762" t="s">
        <v>591</v>
      </c>
      <c r="G762" t="s">
        <v>318</v>
      </c>
      <c r="H762" t="s">
        <v>453</v>
      </c>
      <c r="I762" t="s">
        <v>548</v>
      </c>
      <c r="J762" t="s">
        <v>549</v>
      </c>
    </row>
    <row r="763" spans="1:10" hidden="1" x14ac:dyDescent="0.25">
      <c r="A763" t="s">
        <v>353</v>
      </c>
      <c r="B763" t="s">
        <v>6</v>
      </c>
      <c r="C763" t="s">
        <v>7</v>
      </c>
      <c r="D763" t="s">
        <v>10</v>
      </c>
      <c r="E763" s="2">
        <v>43336.097731481481</v>
      </c>
      <c r="F763" t="s">
        <v>587</v>
      </c>
      <c r="G763" t="s">
        <v>457</v>
      </c>
      <c r="H763" t="s">
        <v>444</v>
      </c>
      <c r="I763" t="s">
        <v>588</v>
      </c>
      <c r="J763" t="s">
        <v>491</v>
      </c>
    </row>
    <row r="764" spans="1:10" hidden="1" x14ac:dyDescent="0.25">
      <c r="A764" t="s">
        <v>257</v>
      </c>
      <c r="B764" t="s">
        <v>6</v>
      </c>
      <c r="C764" t="s">
        <v>7</v>
      </c>
      <c r="D764" t="s">
        <v>10</v>
      </c>
      <c r="E764" s="2">
        <v>43336.097997685189</v>
      </c>
      <c r="F764" t="s">
        <v>300</v>
      </c>
      <c r="G764" t="s">
        <v>461</v>
      </c>
      <c r="H764" t="s">
        <v>446</v>
      </c>
      <c r="I764" t="s">
        <v>584</v>
      </c>
      <c r="J764" t="s">
        <v>584</v>
      </c>
    </row>
    <row r="765" spans="1:10" hidden="1" x14ac:dyDescent="0.25">
      <c r="A765" t="s">
        <v>177</v>
      </c>
      <c r="B765" t="s">
        <v>6</v>
      </c>
      <c r="C765" t="s">
        <v>7</v>
      </c>
      <c r="D765" t="s">
        <v>10</v>
      </c>
      <c r="E765" s="2">
        <v>43336.098009259258</v>
      </c>
      <c r="F765" t="s">
        <v>303</v>
      </c>
      <c r="G765" t="s">
        <v>427</v>
      </c>
      <c r="H765" t="s">
        <v>441</v>
      </c>
      <c r="I765" t="s">
        <v>494</v>
      </c>
      <c r="J765" t="s">
        <v>501</v>
      </c>
    </row>
    <row r="766" spans="1:10" hidden="1" x14ac:dyDescent="0.25">
      <c r="A766" t="s">
        <v>170</v>
      </c>
      <c r="B766" t="s">
        <v>6</v>
      </c>
      <c r="C766" t="s">
        <v>7</v>
      </c>
      <c r="D766" t="s">
        <v>10</v>
      </c>
      <c r="E766" s="2">
        <v>43336.09814814815</v>
      </c>
      <c r="F766" t="s">
        <v>585</v>
      </c>
      <c r="G766" t="s">
        <v>318</v>
      </c>
      <c r="H766" t="s">
        <v>426</v>
      </c>
      <c r="I766" t="s">
        <v>494</v>
      </c>
      <c r="J766" t="s">
        <v>501</v>
      </c>
    </row>
    <row r="767" spans="1:10" hidden="1" x14ac:dyDescent="0.25">
      <c r="A767" t="s">
        <v>46</v>
      </c>
      <c r="B767" t="s">
        <v>6</v>
      </c>
      <c r="C767" t="s">
        <v>7</v>
      </c>
      <c r="D767" t="s">
        <v>476</v>
      </c>
      <c r="E767" s="2">
        <v>43336.098310185182</v>
      </c>
      <c r="F767" t="s">
        <v>590</v>
      </c>
      <c r="G767" t="s">
        <v>428</v>
      </c>
      <c r="H767" t="s">
        <v>451</v>
      </c>
      <c r="I767" t="s">
        <v>497</v>
      </c>
      <c r="J767" t="s">
        <v>497</v>
      </c>
    </row>
    <row r="768" spans="1:10" hidden="1" x14ac:dyDescent="0.25">
      <c r="A768" t="s">
        <v>103</v>
      </c>
      <c r="B768" t="s">
        <v>6</v>
      </c>
      <c r="C768" t="s">
        <v>7</v>
      </c>
      <c r="D768" t="s">
        <v>10</v>
      </c>
      <c r="E768" s="2">
        <v>43336.098310185182</v>
      </c>
      <c r="F768" t="s">
        <v>299</v>
      </c>
      <c r="G768" t="s">
        <v>318</v>
      </c>
      <c r="H768" t="s">
        <v>428</v>
      </c>
      <c r="I768" t="s">
        <v>492</v>
      </c>
      <c r="J768" t="s">
        <v>546</v>
      </c>
    </row>
    <row r="769" spans="1:10" hidden="1" x14ac:dyDescent="0.25">
      <c r="A769" t="s">
        <v>354</v>
      </c>
      <c r="B769" t="s">
        <v>6</v>
      </c>
      <c r="C769" t="s">
        <v>7</v>
      </c>
      <c r="D769" t="s">
        <v>10</v>
      </c>
      <c r="E769" s="2">
        <v>43336.098333333335</v>
      </c>
      <c r="F769" t="s">
        <v>587</v>
      </c>
      <c r="G769" t="s">
        <v>457</v>
      </c>
      <c r="H769" t="s">
        <v>445</v>
      </c>
      <c r="I769" t="s">
        <v>539</v>
      </c>
      <c r="J769" t="s">
        <v>491</v>
      </c>
    </row>
    <row r="770" spans="1:10" hidden="1" x14ac:dyDescent="0.25">
      <c r="A770" t="s">
        <v>365</v>
      </c>
      <c r="B770" t="s">
        <v>6</v>
      </c>
      <c r="C770" t="s">
        <v>7</v>
      </c>
      <c r="D770" t="s">
        <v>13</v>
      </c>
      <c r="E770" s="2">
        <v>43336.098449074074</v>
      </c>
      <c r="F770" t="s">
        <v>591</v>
      </c>
      <c r="G770" t="s">
        <v>318</v>
      </c>
      <c r="H770" t="s">
        <v>454</v>
      </c>
      <c r="I770" t="s">
        <v>548</v>
      </c>
      <c r="J770" t="s">
        <v>550</v>
      </c>
    </row>
    <row r="771" spans="1:10" hidden="1" x14ac:dyDescent="0.25">
      <c r="A771" t="s">
        <v>263</v>
      </c>
      <c r="B771" t="s">
        <v>6</v>
      </c>
      <c r="C771" t="s">
        <v>7</v>
      </c>
      <c r="D771" t="s">
        <v>10</v>
      </c>
      <c r="E771" s="2">
        <v>43336.098611111112</v>
      </c>
      <c r="F771" t="s">
        <v>300</v>
      </c>
      <c r="G771" t="s">
        <v>461</v>
      </c>
      <c r="H771" t="s">
        <v>447</v>
      </c>
      <c r="I771" t="s">
        <v>584</v>
      </c>
      <c r="J771" t="s">
        <v>584</v>
      </c>
    </row>
    <row r="772" spans="1:10" hidden="1" x14ac:dyDescent="0.25">
      <c r="A772" t="s">
        <v>287</v>
      </c>
      <c r="B772" t="s">
        <v>6</v>
      </c>
      <c r="C772" t="s">
        <v>7</v>
      </c>
      <c r="D772" t="s">
        <v>10</v>
      </c>
      <c r="E772" s="2">
        <v>43336.098634259259</v>
      </c>
      <c r="F772" t="s">
        <v>303</v>
      </c>
      <c r="G772" t="s">
        <v>427</v>
      </c>
      <c r="H772" t="s">
        <v>442</v>
      </c>
      <c r="I772" t="s">
        <v>494</v>
      </c>
      <c r="J772" t="s">
        <v>501</v>
      </c>
    </row>
    <row r="773" spans="1:10" hidden="1" x14ac:dyDescent="0.25">
      <c r="A773" t="s">
        <v>222</v>
      </c>
      <c r="B773" t="s">
        <v>6</v>
      </c>
      <c r="C773" t="s">
        <v>7</v>
      </c>
      <c r="D773" t="s">
        <v>484</v>
      </c>
      <c r="E773" s="2">
        <v>43336.098668981482</v>
      </c>
      <c r="F773" t="s">
        <v>298</v>
      </c>
      <c r="G773" t="s">
        <v>318</v>
      </c>
      <c r="H773" t="s">
        <v>428</v>
      </c>
      <c r="I773" t="s">
        <v>13</v>
      </c>
      <c r="J773" t="s">
        <v>532</v>
      </c>
    </row>
    <row r="774" spans="1:10" hidden="1" x14ac:dyDescent="0.25">
      <c r="A774" t="s">
        <v>293</v>
      </c>
      <c r="B774" t="s">
        <v>6</v>
      </c>
      <c r="C774" t="s">
        <v>7</v>
      </c>
      <c r="D774" t="s">
        <v>10</v>
      </c>
      <c r="E774" s="2">
        <v>43336.098773148151</v>
      </c>
      <c r="F774" t="s">
        <v>585</v>
      </c>
      <c r="G774" t="s">
        <v>318</v>
      </c>
      <c r="H774" t="s">
        <v>427</v>
      </c>
      <c r="I774" t="s">
        <v>494</v>
      </c>
      <c r="J774" t="s">
        <v>501</v>
      </c>
    </row>
    <row r="775" spans="1:10" hidden="1" x14ac:dyDescent="0.25">
      <c r="A775" t="s">
        <v>355</v>
      </c>
      <c r="B775" t="s">
        <v>6</v>
      </c>
      <c r="C775" t="s">
        <v>7</v>
      </c>
      <c r="D775" t="s">
        <v>10</v>
      </c>
      <c r="E775" s="2">
        <v>43336.098958333336</v>
      </c>
      <c r="F775" t="s">
        <v>587</v>
      </c>
      <c r="G775" t="s">
        <v>457</v>
      </c>
      <c r="H775" t="s">
        <v>446</v>
      </c>
      <c r="I775" t="s">
        <v>538</v>
      </c>
      <c r="J775" t="s">
        <v>491</v>
      </c>
    </row>
    <row r="776" spans="1:10" hidden="1" x14ac:dyDescent="0.25">
      <c r="A776" t="s">
        <v>82</v>
      </c>
      <c r="B776" t="s">
        <v>6</v>
      </c>
      <c r="C776" t="s">
        <v>7</v>
      </c>
      <c r="D776" t="s">
        <v>10</v>
      </c>
      <c r="E776" s="2">
        <v>43336.098981481482</v>
      </c>
      <c r="F776" t="s">
        <v>299</v>
      </c>
      <c r="G776" t="s">
        <v>318</v>
      </c>
      <c r="H776" t="s">
        <v>429</v>
      </c>
      <c r="I776" t="s">
        <v>492</v>
      </c>
      <c r="J776" t="s">
        <v>546</v>
      </c>
    </row>
    <row r="777" spans="1:10" hidden="1" x14ac:dyDescent="0.25">
      <c r="A777" t="s">
        <v>208</v>
      </c>
      <c r="B777" t="s">
        <v>6</v>
      </c>
      <c r="C777" t="s">
        <v>7</v>
      </c>
      <c r="D777" t="s">
        <v>13</v>
      </c>
      <c r="E777" s="2">
        <v>43336.099027777775</v>
      </c>
      <c r="F777" t="s">
        <v>590</v>
      </c>
      <c r="G777" t="s">
        <v>428</v>
      </c>
      <c r="H777" t="s">
        <v>452</v>
      </c>
      <c r="I777" t="s">
        <v>497</v>
      </c>
      <c r="J777" t="s">
        <v>497</v>
      </c>
    </row>
    <row r="778" spans="1:10" hidden="1" x14ac:dyDescent="0.25">
      <c r="A778" t="s">
        <v>311</v>
      </c>
      <c r="B778" t="s">
        <v>306</v>
      </c>
      <c r="C778" t="s">
        <v>306</v>
      </c>
      <c r="D778" t="s">
        <v>307</v>
      </c>
      <c r="E778" s="2">
        <v>43336.099085648151</v>
      </c>
      <c r="F778" t="s">
        <v>586</v>
      </c>
      <c r="G778" t="s">
        <v>318</v>
      </c>
      <c r="H778" t="s">
        <v>429</v>
      </c>
      <c r="I778" t="s">
        <v>490</v>
      </c>
      <c r="J778" t="s">
        <v>491</v>
      </c>
    </row>
    <row r="779" spans="1:10" hidden="1" x14ac:dyDescent="0.25">
      <c r="A779" t="s">
        <v>396</v>
      </c>
      <c r="B779" t="s">
        <v>6</v>
      </c>
      <c r="C779" t="s">
        <v>7</v>
      </c>
      <c r="D779" t="s">
        <v>13</v>
      </c>
      <c r="E779" s="2">
        <v>43336.099189814813</v>
      </c>
      <c r="F779" t="s">
        <v>591</v>
      </c>
      <c r="G779" t="s">
        <v>318</v>
      </c>
      <c r="H779" t="s">
        <v>455</v>
      </c>
      <c r="I779" t="s">
        <v>548</v>
      </c>
      <c r="J779" t="s">
        <v>551</v>
      </c>
    </row>
    <row r="780" spans="1:10" hidden="1" x14ac:dyDescent="0.25">
      <c r="A780" t="s">
        <v>264</v>
      </c>
      <c r="B780" t="s">
        <v>6</v>
      </c>
      <c r="C780" t="s">
        <v>7</v>
      </c>
      <c r="D780" t="s">
        <v>10</v>
      </c>
      <c r="E780" s="2">
        <v>43336.099259259259</v>
      </c>
      <c r="F780" t="s">
        <v>300</v>
      </c>
      <c r="G780" t="s">
        <v>461</v>
      </c>
      <c r="H780" t="s">
        <v>448</v>
      </c>
      <c r="I780" t="s">
        <v>584</v>
      </c>
      <c r="J780" t="s">
        <v>584</v>
      </c>
    </row>
    <row r="781" spans="1:10" hidden="1" x14ac:dyDescent="0.25">
      <c r="A781" t="s">
        <v>230</v>
      </c>
      <c r="B781" t="s">
        <v>6</v>
      </c>
      <c r="C781" t="s">
        <v>7</v>
      </c>
      <c r="D781" t="s">
        <v>10</v>
      </c>
      <c r="E781" s="2">
        <v>43336.099293981482</v>
      </c>
      <c r="F781" t="s">
        <v>298</v>
      </c>
      <c r="G781" t="s">
        <v>318</v>
      </c>
      <c r="H781" t="s">
        <v>429</v>
      </c>
      <c r="I781" t="s">
        <v>509</v>
      </c>
      <c r="J781" t="s">
        <v>510</v>
      </c>
    </row>
    <row r="782" spans="1:10" hidden="1" x14ac:dyDescent="0.25">
      <c r="A782" t="s">
        <v>44</v>
      </c>
      <c r="B782" t="s">
        <v>6</v>
      </c>
      <c r="C782" t="s">
        <v>7</v>
      </c>
      <c r="D782" t="s">
        <v>10</v>
      </c>
      <c r="E782" s="2">
        <v>43336.099386574075</v>
      </c>
      <c r="F782" t="s">
        <v>585</v>
      </c>
      <c r="G782" t="s">
        <v>318</v>
      </c>
      <c r="H782" t="s">
        <v>428</v>
      </c>
      <c r="I782" t="s">
        <v>494</v>
      </c>
      <c r="J782" t="s">
        <v>501</v>
      </c>
    </row>
    <row r="783" spans="1:10" hidden="1" x14ac:dyDescent="0.25">
      <c r="A783" t="s">
        <v>185</v>
      </c>
      <c r="B783" t="s">
        <v>6</v>
      </c>
      <c r="C783" t="s">
        <v>7</v>
      </c>
      <c r="D783" t="s">
        <v>27</v>
      </c>
      <c r="E783" s="2">
        <v>43336.099421296298</v>
      </c>
      <c r="F783" t="s">
        <v>303</v>
      </c>
      <c r="G783" t="s">
        <v>427</v>
      </c>
      <c r="H783" t="s">
        <v>443</v>
      </c>
      <c r="I783" t="s">
        <v>494</v>
      </c>
      <c r="J783" t="s">
        <v>501</v>
      </c>
    </row>
    <row r="784" spans="1:10" hidden="1" x14ac:dyDescent="0.25">
      <c r="A784" t="s">
        <v>357</v>
      </c>
      <c r="B784" t="s">
        <v>6</v>
      </c>
      <c r="C784" t="s">
        <v>7</v>
      </c>
      <c r="D784" t="s">
        <v>10</v>
      </c>
      <c r="E784" s="2">
        <v>43336.099594907406</v>
      </c>
      <c r="F784" t="s">
        <v>587</v>
      </c>
      <c r="G784" t="s">
        <v>457</v>
      </c>
      <c r="H784" t="s">
        <v>447</v>
      </c>
      <c r="I784" t="s">
        <v>536</v>
      </c>
      <c r="J784" t="s">
        <v>491</v>
      </c>
    </row>
    <row r="785" spans="1:10" hidden="1" x14ac:dyDescent="0.25">
      <c r="A785" t="s">
        <v>81</v>
      </c>
      <c r="B785" t="s">
        <v>6</v>
      </c>
      <c r="C785" t="s">
        <v>7</v>
      </c>
      <c r="D785" t="s">
        <v>10</v>
      </c>
      <c r="E785" s="2">
        <v>43336.099618055552</v>
      </c>
      <c r="F785" t="s">
        <v>299</v>
      </c>
      <c r="G785" t="s">
        <v>318</v>
      </c>
      <c r="H785" t="s">
        <v>430</v>
      </c>
      <c r="I785" t="s">
        <v>533</v>
      </c>
      <c r="J785" t="s">
        <v>543</v>
      </c>
    </row>
    <row r="786" spans="1:10" hidden="1" x14ac:dyDescent="0.25">
      <c r="A786" t="s">
        <v>340</v>
      </c>
      <c r="B786" t="s">
        <v>6</v>
      </c>
      <c r="C786" t="s">
        <v>7</v>
      </c>
      <c r="D786" t="s">
        <v>476</v>
      </c>
      <c r="E786" s="2">
        <v>43336.099803240744</v>
      </c>
      <c r="F786" t="s">
        <v>591</v>
      </c>
      <c r="G786" t="s">
        <v>318</v>
      </c>
      <c r="H786" t="s">
        <v>456</v>
      </c>
      <c r="I786" t="s">
        <v>548</v>
      </c>
      <c r="J786" t="s">
        <v>552</v>
      </c>
    </row>
    <row r="787" spans="1:10" hidden="1" x14ac:dyDescent="0.25">
      <c r="A787" t="s">
        <v>30</v>
      </c>
      <c r="B787" t="s">
        <v>6</v>
      </c>
      <c r="C787" t="s">
        <v>7</v>
      </c>
      <c r="D787" t="s">
        <v>27</v>
      </c>
      <c r="E787" s="2">
        <v>43336.099803240744</v>
      </c>
      <c r="F787" t="s">
        <v>590</v>
      </c>
      <c r="G787" t="s">
        <v>428</v>
      </c>
      <c r="H787" t="s">
        <v>318</v>
      </c>
      <c r="I787" t="s">
        <v>494</v>
      </c>
      <c r="J787" t="s">
        <v>495</v>
      </c>
    </row>
    <row r="788" spans="1:10" hidden="1" x14ac:dyDescent="0.25">
      <c r="A788" t="s">
        <v>265</v>
      </c>
      <c r="B788" t="s">
        <v>6</v>
      </c>
      <c r="C788" t="s">
        <v>7</v>
      </c>
      <c r="D788" t="s">
        <v>10</v>
      </c>
      <c r="E788" s="2">
        <v>43336.099895833337</v>
      </c>
      <c r="F788" t="s">
        <v>300</v>
      </c>
      <c r="G788" t="s">
        <v>461</v>
      </c>
      <c r="H788" t="s">
        <v>449</v>
      </c>
      <c r="I788" t="s">
        <v>584</v>
      </c>
      <c r="J788" t="s">
        <v>584</v>
      </c>
    </row>
    <row r="789" spans="1:10" hidden="1" x14ac:dyDescent="0.25">
      <c r="A789" t="s">
        <v>226</v>
      </c>
      <c r="B789" t="s">
        <v>6</v>
      </c>
      <c r="C789" t="s">
        <v>7</v>
      </c>
      <c r="D789" t="s">
        <v>10</v>
      </c>
      <c r="E789" s="2">
        <v>43336.099918981483</v>
      </c>
      <c r="F789" t="s">
        <v>298</v>
      </c>
      <c r="G789" t="s">
        <v>318</v>
      </c>
      <c r="H789" t="s">
        <v>430</v>
      </c>
      <c r="I789" t="s">
        <v>509</v>
      </c>
      <c r="J789" t="s">
        <v>510</v>
      </c>
    </row>
    <row r="790" spans="1:10" hidden="1" x14ac:dyDescent="0.25">
      <c r="A790" t="s">
        <v>133</v>
      </c>
      <c r="B790" t="s">
        <v>6</v>
      </c>
      <c r="C790" t="s">
        <v>7</v>
      </c>
      <c r="D790" t="s">
        <v>10</v>
      </c>
      <c r="E790" s="2">
        <v>43336.1</v>
      </c>
      <c r="F790" t="s">
        <v>585</v>
      </c>
      <c r="G790" t="s">
        <v>318</v>
      </c>
      <c r="H790" t="s">
        <v>429</v>
      </c>
      <c r="I790" t="s">
        <v>494</v>
      </c>
      <c r="J790" t="s">
        <v>501</v>
      </c>
    </row>
    <row r="791" spans="1:10" hidden="1" x14ac:dyDescent="0.25">
      <c r="A791" t="s">
        <v>175</v>
      </c>
      <c r="B791" t="s">
        <v>6</v>
      </c>
      <c r="C791" t="s">
        <v>7</v>
      </c>
      <c r="D791" t="s">
        <v>10</v>
      </c>
      <c r="E791" s="2">
        <v>43336.100069444445</v>
      </c>
      <c r="F791" t="s">
        <v>303</v>
      </c>
      <c r="G791" t="s">
        <v>427</v>
      </c>
      <c r="H791" t="s">
        <v>444</v>
      </c>
      <c r="I791" t="s">
        <v>494</v>
      </c>
      <c r="J791" t="s">
        <v>501</v>
      </c>
    </row>
    <row r="792" spans="1:10" hidden="1" x14ac:dyDescent="0.25">
      <c r="A792" t="s">
        <v>358</v>
      </c>
      <c r="B792" t="s">
        <v>6</v>
      </c>
      <c r="C792" t="s">
        <v>7</v>
      </c>
      <c r="D792" t="s">
        <v>10</v>
      </c>
      <c r="E792" s="2">
        <v>43336.10019675926</v>
      </c>
      <c r="F792" t="s">
        <v>587</v>
      </c>
      <c r="G792" t="s">
        <v>457</v>
      </c>
      <c r="H792" t="s">
        <v>448</v>
      </c>
      <c r="I792" t="s">
        <v>534</v>
      </c>
      <c r="J792" t="s">
        <v>520</v>
      </c>
    </row>
    <row r="793" spans="1:10" hidden="1" x14ac:dyDescent="0.25">
      <c r="A793" t="s">
        <v>153</v>
      </c>
      <c r="B793" t="s">
        <v>6</v>
      </c>
      <c r="C793" t="s">
        <v>7</v>
      </c>
      <c r="D793" t="s">
        <v>10</v>
      </c>
      <c r="E793" s="2">
        <v>43336.100266203706</v>
      </c>
      <c r="F793" t="s">
        <v>299</v>
      </c>
      <c r="G793" t="s">
        <v>318</v>
      </c>
      <c r="H793" t="s">
        <v>431</v>
      </c>
      <c r="I793" t="s">
        <v>533</v>
      </c>
      <c r="J793" t="s">
        <v>543</v>
      </c>
    </row>
    <row r="794" spans="1:10" hidden="1" x14ac:dyDescent="0.25">
      <c r="A794" t="s">
        <v>301</v>
      </c>
      <c r="B794" t="s">
        <v>6</v>
      </c>
      <c r="C794" t="s">
        <v>7</v>
      </c>
      <c r="D794" t="s">
        <v>10</v>
      </c>
      <c r="E794" s="2">
        <v>43336.100405092591</v>
      </c>
      <c r="F794" t="s">
        <v>591</v>
      </c>
      <c r="G794" t="s">
        <v>318</v>
      </c>
      <c r="H794" t="s">
        <v>426</v>
      </c>
      <c r="I794" t="s">
        <v>513</v>
      </c>
      <c r="J794" t="s">
        <v>555</v>
      </c>
    </row>
    <row r="795" spans="1:10" hidden="1" x14ac:dyDescent="0.25">
      <c r="A795" t="s">
        <v>29</v>
      </c>
      <c r="B795" t="s">
        <v>6</v>
      </c>
      <c r="C795" t="s">
        <v>7</v>
      </c>
      <c r="D795" t="s">
        <v>476</v>
      </c>
      <c r="E795" s="2">
        <v>43336.100428240738</v>
      </c>
      <c r="F795" t="s">
        <v>590</v>
      </c>
      <c r="G795" t="s">
        <v>428</v>
      </c>
      <c r="H795" t="s">
        <v>323</v>
      </c>
      <c r="I795" t="s">
        <v>494</v>
      </c>
      <c r="J795" t="s">
        <v>497</v>
      </c>
    </row>
    <row r="796" spans="1:10" hidden="1" x14ac:dyDescent="0.25">
      <c r="A796" t="s">
        <v>266</v>
      </c>
      <c r="B796" t="s">
        <v>6</v>
      </c>
      <c r="C796" t="s">
        <v>7</v>
      </c>
      <c r="D796" t="s">
        <v>10</v>
      </c>
      <c r="E796" s="2">
        <v>43336.100532407407</v>
      </c>
      <c r="F796" t="s">
        <v>300</v>
      </c>
      <c r="G796" t="s">
        <v>461</v>
      </c>
      <c r="H796" t="s">
        <v>450</v>
      </c>
      <c r="I796" t="s">
        <v>584</v>
      </c>
      <c r="J796" t="s">
        <v>584</v>
      </c>
    </row>
    <row r="797" spans="1:10" hidden="1" x14ac:dyDescent="0.25">
      <c r="A797" t="s">
        <v>161</v>
      </c>
      <c r="B797" t="s">
        <v>6</v>
      </c>
      <c r="C797" t="s">
        <v>7</v>
      </c>
      <c r="D797" t="s">
        <v>10</v>
      </c>
      <c r="E797" s="2">
        <v>43336.100543981483</v>
      </c>
      <c r="F797" t="s">
        <v>298</v>
      </c>
      <c r="G797" t="s">
        <v>318</v>
      </c>
      <c r="H797" t="s">
        <v>431</v>
      </c>
      <c r="I797" t="s">
        <v>492</v>
      </c>
      <c r="J797" t="s">
        <v>493</v>
      </c>
    </row>
    <row r="798" spans="1:10" hidden="1" x14ac:dyDescent="0.25">
      <c r="A798" t="s">
        <v>124</v>
      </c>
      <c r="B798" t="s">
        <v>6</v>
      </c>
      <c r="C798" t="s">
        <v>7</v>
      </c>
      <c r="D798" t="s">
        <v>10</v>
      </c>
      <c r="E798" s="2">
        <v>43336.100613425922</v>
      </c>
      <c r="F798" t="s">
        <v>585</v>
      </c>
      <c r="G798" t="s">
        <v>318</v>
      </c>
      <c r="H798" t="s">
        <v>430</v>
      </c>
      <c r="I798" t="s">
        <v>494</v>
      </c>
      <c r="J798" t="s">
        <v>501</v>
      </c>
    </row>
    <row r="799" spans="1:10" hidden="1" x14ac:dyDescent="0.25">
      <c r="A799" t="s">
        <v>288</v>
      </c>
      <c r="B799" t="s">
        <v>6</v>
      </c>
      <c r="C799" t="s">
        <v>7</v>
      </c>
      <c r="D799" t="s">
        <v>10</v>
      </c>
      <c r="E799" s="2">
        <v>43336.100694444445</v>
      </c>
      <c r="F799" t="s">
        <v>303</v>
      </c>
      <c r="G799" t="s">
        <v>427</v>
      </c>
      <c r="H799" t="s">
        <v>445</v>
      </c>
      <c r="I799" t="s">
        <v>494</v>
      </c>
      <c r="J799" t="s">
        <v>501</v>
      </c>
    </row>
    <row r="800" spans="1:10" hidden="1" x14ac:dyDescent="0.25">
      <c r="A800" t="s">
        <v>99</v>
      </c>
      <c r="B800" t="s">
        <v>6</v>
      </c>
      <c r="C800" t="s">
        <v>7</v>
      </c>
      <c r="D800" t="s">
        <v>10</v>
      </c>
      <c r="E800" s="2">
        <v>43336.10087962963</v>
      </c>
      <c r="F800" t="s">
        <v>299</v>
      </c>
      <c r="G800" t="s">
        <v>318</v>
      </c>
      <c r="H800" t="s">
        <v>432</v>
      </c>
      <c r="I800" t="s">
        <v>533</v>
      </c>
      <c r="J800" t="s">
        <v>543</v>
      </c>
    </row>
    <row r="801" spans="1:10" hidden="1" x14ac:dyDescent="0.25">
      <c r="A801" t="s">
        <v>382</v>
      </c>
      <c r="B801" t="s">
        <v>6</v>
      </c>
      <c r="C801" t="s">
        <v>7</v>
      </c>
      <c r="D801" t="s">
        <v>27</v>
      </c>
      <c r="E801" s="2">
        <v>43336.100949074076</v>
      </c>
      <c r="F801" t="s">
        <v>587</v>
      </c>
      <c r="G801" t="s">
        <v>457</v>
      </c>
      <c r="H801" t="s">
        <v>449</v>
      </c>
      <c r="I801" t="s">
        <v>531</v>
      </c>
      <c r="J801" t="s">
        <v>520</v>
      </c>
    </row>
    <row r="802" spans="1:10" hidden="1" x14ac:dyDescent="0.25">
      <c r="A802" t="s">
        <v>378</v>
      </c>
      <c r="B802" t="s">
        <v>6</v>
      </c>
      <c r="C802" t="s">
        <v>7</v>
      </c>
      <c r="D802" t="s">
        <v>10</v>
      </c>
      <c r="E802" s="2">
        <v>43336.101018518515</v>
      </c>
      <c r="F802" t="s">
        <v>591</v>
      </c>
      <c r="G802" t="s">
        <v>318</v>
      </c>
      <c r="H802" t="s">
        <v>427</v>
      </c>
      <c r="I802" t="s">
        <v>554</v>
      </c>
      <c r="J802" t="s">
        <v>556</v>
      </c>
    </row>
    <row r="803" spans="1:10" hidden="1" x14ac:dyDescent="0.25">
      <c r="A803" t="s">
        <v>28</v>
      </c>
      <c r="B803" t="s">
        <v>6</v>
      </c>
      <c r="C803" t="s">
        <v>7</v>
      </c>
      <c r="D803" t="s">
        <v>476</v>
      </c>
      <c r="E803" s="2">
        <v>43336.101099537038</v>
      </c>
      <c r="F803" t="s">
        <v>590</v>
      </c>
      <c r="G803" t="s">
        <v>428</v>
      </c>
      <c r="H803" t="s">
        <v>385</v>
      </c>
      <c r="I803" t="s">
        <v>494</v>
      </c>
      <c r="J803" t="s">
        <v>497</v>
      </c>
    </row>
    <row r="804" spans="1:10" hidden="1" x14ac:dyDescent="0.25">
      <c r="A804" t="s">
        <v>242</v>
      </c>
      <c r="B804" t="s">
        <v>6</v>
      </c>
      <c r="C804" t="s">
        <v>7</v>
      </c>
      <c r="D804" t="s">
        <v>10</v>
      </c>
      <c r="E804" s="2">
        <v>43336.101145833331</v>
      </c>
      <c r="F804" t="s">
        <v>300</v>
      </c>
      <c r="G804" t="s">
        <v>461</v>
      </c>
      <c r="H804" t="s">
        <v>451</v>
      </c>
      <c r="I804" t="s">
        <v>498</v>
      </c>
      <c r="J804" t="s">
        <v>498</v>
      </c>
    </row>
    <row r="805" spans="1:10" hidden="1" x14ac:dyDescent="0.25">
      <c r="A805" t="s">
        <v>228</v>
      </c>
      <c r="B805" t="s">
        <v>6</v>
      </c>
      <c r="C805" t="s">
        <v>7</v>
      </c>
      <c r="D805" t="s">
        <v>10</v>
      </c>
      <c r="E805" s="2">
        <v>43336.101168981484</v>
      </c>
      <c r="F805" t="s">
        <v>298</v>
      </c>
      <c r="G805" t="s">
        <v>318</v>
      </c>
      <c r="H805" t="s">
        <v>432</v>
      </c>
      <c r="I805" t="s">
        <v>509</v>
      </c>
      <c r="J805" t="s">
        <v>523</v>
      </c>
    </row>
    <row r="806" spans="1:10" hidden="1" x14ac:dyDescent="0.25">
      <c r="A806" t="s">
        <v>43</v>
      </c>
      <c r="B806" t="s">
        <v>6</v>
      </c>
      <c r="C806" t="s">
        <v>7</v>
      </c>
      <c r="D806" t="s">
        <v>10</v>
      </c>
      <c r="E806" s="2">
        <v>43336.10125</v>
      </c>
      <c r="F806" t="s">
        <v>585</v>
      </c>
      <c r="G806" t="s">
        <v>318</v>
      </c>
      <c r="H806" t="s">
        <v>431</v>
      </c>
      <c r="I806" t="s">
        <v>494</v>
      </c>
      <c r="J806" t="s">
        <v>501</v>
      </c>
    </row>
    <row r="807" spans="1:10" hidden="1" x14ac:dyDescent="0.25">
      <c r="A807" t="s">
        <v>139</v>
      </c>
      <c r="B807" t="s">
        <v>6</v>
      </c>
      <c r="C807" t="s">
        <v>7</v>
      </c>
      <c r="D807" t="s">
        <v>10</v>
      </c>
      <c r="E807" s="2">
        <v>43336.101319444446</v>
      </c>
      <c r="F807" t="s">
        <v>303</v>
      </c>
      <c r="G807" t="s">
        <v>427</v>
      </c>
      <c r="H807" t="s">
        <v>446</v>
      </c>
      <c r="I807" t="s">
        <v>494</v>
      </c>
      <c r="J807" t="s">
        <v>501</v>
      </c>
    </row>
    <row r="808" spans="1:10" hidden="1" x14ac:dyDescent="0.25">
      <c r="A808" t="s">
        <v>155</v>
      </c>
      <c r="B808" t="s">
        <v>6</v>
      </c>
      <c r="C808" t="s">
        <v>7</v>
      </c>
      <c r="D808" t="s">
        <v>476</v>
      </c>
      <c r="E808" s="2">
        <v>43336.1015162037</v>
      </c>
      <c r="F808" t="s">
        <v>299</v>
      </c>
      <c r="G808" t="s">
        <v>318</v>
      </c>
      <c r="H808" t="s">
        <v>433</v>
      </c>
      <c r="I808" t="s">
        <v>553</v>
      </c>
      <c r="J808" t="s">
        <v>497</v>
      </c>
    </row>
    <row r="809" spans="1:10" hidden="1" x14ac:dyDescent="0.25">
      <c r="A809" t="s">
        <v>324</v>
      </c>
      <c r="B809" t="s">
        <v>6</v>
      </c>
      <c r="C809" t="s">
        <v>7</v>
      </c>
      <c r="D809" t="s">
        <v>10</v>
      </c>
      <c r="E809" s="2">
        <v>43336.101631944446</v>
      </c>
      <c r="F809" t="s">
        <v>591</v>
      </c>
      <c r="G809" t="s">
        <v>318</v>
      </c>
      <c r="H809" t="s">
        <v>428</v>
      </c>
      <c r="I809" t="s">
        <v>554</v>
      </c>
      <c r="J809" t="s">
        <v>556</v>
      </c>
    </row>
    <row r="810" spans="1:10" hidden="1" x14ac:dyDescent="0.25">
      <c r="A810" t="s">
        <v>25</v>
      </c>
      <c r="B810" t="s">
        <v>6</v>
      </c>
      <c r="C810" t="s">
        <v>7</v>
      </c>
      <c r="D810" t="s">
        <v>476</v>
      </c>
      <c r="E810" s="2">
        <v>43336.101701388892</v>
      </c>
      <c r="F810" t="s">
        <v>590</v>
      </c>
      <c r="G810" t="s">
        <v>428</v>
      </c>
      <c r="H810" t="s">
        <v>457</v>
      </c>
      <c r="I810" t="s">
        <v>494</v>
      </c>
      <c r="J810" t="s">
        <v>497</v>
      </c>
    </row>
    <row r="811" spans="1:10" hidden="1" x14ac:dyDescent="0.25">
      <c r="A811" t="s">
        <v>481</v>
      </c>
      <c r="B811" t="s">
        <v>6</v>
      </c>
      <c r="C811" t="s">
        <v>7</v>
      </c>
      <c r="D811" t="s">
        <v>27</v>
      </c>
      <c r="E811" s="2">
        <v>43336.101736111108</v>
      </c>
      <c r="F811" t="s">
        <v>587</v>
      </c>
      <c r="G811" t="s">
        <v>457</v>
      </c>
      <c r="H811" t="s">
        <v>450</v>
      </c>
      <c r="I811" t="s">
        <v>530</v>
      </c>
      <c r="J811" t="s">
        <v>520</v>
      </c>
    </row>
    <row r="812" spans="1:10" hidden="1" x14ac:dyDescent="0.25">
      <c r="A812" t="s">
        <v>267</v>
      </c>
      <c r="B812" t="s">
        <v>6</v>
      </c>
      <c r="C812" t="s">
        <v>7</v>
      </c>
      <c r="D812" t="s">
        <v>10</v>
      </c>
      <c r="E812" s="2">
        <v>43336.101782407408</v>
      </c>
      <c r="F812" t="s">
        <v>300</v>
      </c>
      <c r="G812" t="s">
        <v>461</v>
      </c>
      <c r="H812" t="s">
        <v>452</v>
      </c>
      <c r="I812" t="s">
        <v>498</v>
      </c>
      <c r="J812" t="s">
        <v>498</v>
      </c>
    </row>
    <row r="813" spans="1:10" hidden="1" x14ac:dyDescent="0.25">
      <c r="A813" t="s">
        <v>87</v>
      </c>
      <c r="B813" t="s">
        <v>6</v>
      </c>
      <c r="C813" t="s">
        <v>7</v>
      </c>
      <c r="D813" t="s">
        <v>10</v>
      </c>
      <c r="E813" s="2">
        <v>43336.101793981485</v>
      </c>
      <c r="F813" t="s">
        <v>298</v>
      </c>
      <c r="G813" t="s">
        <v>318</v>
      </c>
      <c r="H813" t="s">
        <v>433</v>
      </c>
      <c r="I813" t="s">
        <v>492</v>
      </c>
      <c r="J813" t="s">
        <v>521</v>
      </c>
    </row>
    <row r="814" spans="1:10" hidden="1" x14ac:dyDescent="0.25">
      <c r="A814" t="s">
        <v>42</v>
      </c>
      <c r="B814" t="s">
        <v>6</v>
      </c>
      <c r="C814" t="s">
        <v>7</v>
      </c>
      <c r="D814" t="s">
        <v>10</v>
      </c>
      <c r="E814" s="2">
        <v>43336.101863425924</v>
      </c>
      <c r="F814" t="s">
        <v>585</v>
      </c>
      <c r="G814" t="s">
        <v>318</v>
      </c>
      <c r="H814" t="s">
        <v>432</v>
      </c>
      <c r="I814" t="s">
        <v>494</v>
      </c>
      <c r="J814" t="s">
        <v>501</v>
      </c>
    </row>
    <row r="815" spans="1:10" hidden="1" x14ac:dyDescent="0.25">
      <c r="A815" t="s">
        <v>312</v>
      </c>
      <c r="B815" t="s">
        <v>306</v>
      </c>
      <c r="C815" t="s">
        <v>306</v>
      </c>
      <c r="D815" t="s">
        <v>307</v>
      </c>
      <c r="E815" s="2">
        <v>43336.101875</v>
      </c>
      <c r="F815" t="s">
        <v>586</v>
      </c>
      <c r="G815" t="s">
        <v>318</v>
      </c>
      <c r="H815" t="s">
        <v>430</v>
      </c>
      <c r="I815" t="s">
        <v>490</v>
      </c>
      <c r="J815" t="s">
        <v>491</v>
      </c>
    </row>
    <row r="816" spans="1:10" hidden="1" x14ac:dyDescent="0.25">
      <c r="A816" t="s">
        <v>289</v>
      </c>
      <c r="B816" t="s">
        <v>6</v>
      </c>
      <c r="C816" t="s">
        <v>7</v>
      </c>
      <c r="D816" t="s">
        <v>10</v>
      </c>
      <c r="E816" s="2">
        <v>43336.10193287037</v>
      </c>
      <c r="F816" t="s">
        <v>303</v>
      </c>
      <c r="G816" t="s">
        <v>427</v>
      </c>
      <c r="H816" t="s">
        <v>447</v>
      </c>
      <c r="I816" t="s">
        <v>494</v>
      </c>
      <c r="J816" t="s">
        <v>501</v>
      </c>
    </row>
    <row r="817" spans="1:10" hidden="1" x14ac:dyDescent="0.25">
      <c r="A817" t="s">
        <v>120</v>
      </c>
      <c r="B817" t="s">
        <v>6</v>
      </c>
      <c r="C817" t="s">
        <v>219</v>
      </c>
      <c r="D817" t="s">
        <v>476</v>
      </c>
      <c r="E817" s="2">
        <v>43336.102141203701</v>
      </c>
      <c r="F817" t="s">
        <v>299</v>
      </c>
      <c r="G817" t="s">
        <v>318</v>
      </c>
      <c r="H817" t="s">
        <v>434</v>
      </c>
      <c r="I817" t="s">
        <v>553</v>
      </c>
      <c r="J817" t="s">
        <v>497</v>
      </c>
    </row>
    <row r="818" spans="1:10" hidden="1" x14ac:dyDescent="0.25">
      <c r="A818" t="s">
        <v>325</v>
      </c>
      <c r="B818" t="s">
        <v>6</v>
      </c>
      <c r="C818" t="s">
        <v>7</v>
      </c>
      <c r="D818" t="s">
        <v>10</v>
      </c>
      <c r="E818" s="2">
        <v>43336.10224537037</v>
      </c>
      <c r="F818" t="s">
        <v>591</v>
      </c>
      <c r="G818" t="s">
        <v>318</v>
      </c>
      <c r="H818" t="s">
        <v>429</v>
      </c>
      <c r="I818" t="s">
        <v>554</v>
      </c>
      <c r="J818" t="s">
        <v>556</v>
      </c>
    </row>
    <row r="819" spans="1:10" hidden="1" x14ac:dyDescent="0.25">
      <c r="A819" t="s">
        <v>24</v>
      </c>
      <c r="B819" t="s">
        <v>6</v>
      </c>
      <c r="C819" t="s">
        <v>7</v>
      </c>
      <c r="D819" t="s">
        <v>476</v>
      </c>
      <c r="E819" s="2">
        <v>43336.102326388886</v>
      </c>
      <c r="F819" t="s">
        <v>590</v>
      </c>
      <c r="G819" t="s">
        <v>428</v>
      </c>
      <c r="H819" t="s">
        <v>458</v>
      </c>
      <c r="I819" t="s">
        <v>494</v>
      </c>
      <c r="J819" t="s">
        <v>497</v>
      </c>
    </row>
    <row r="820" spans="1:10" hidden="1" x14ac:dyDescent="0.25">
      <c r="A820" t="s">
        <v>55</v>
      </c>
      <c r="B820" t="s">
        <v>6</v>
      </c>
      <c r="C820" t="s">
        <v>7</v>
      </c>
      <c r="D820" t="s">
        <v>10</v>
      </c>
      <c r="E820" s="2">
        <v>43336.102407407408</v>
      </c>
      <c r="F820" t="s">
        <v>300</v>
      </c>
      <c r="G820" t="s">
        <v>461</v>
      </c>
      <c r="H820" t="s">
        <v>318</v>
      </c>
      <c r="I820" t="s">
        <v>558</v>
      </c>
      <c r="J820" t="s">
        <v>562</v>
      </c>
    </row>
    <row r="821" spans="1:10" hidden="1" x14ac:dyDescent="0.25">
      <c r="A821" t="s">
        <v>480</v>
      </c>
      <c r="B821" t="s">
        <v>6</v>
      </c>
      <c r="C821" t="s">
        <v>7</v>
      </c>
      <c r="D821" t="s">
        <v>10</v>
      </c>
      <c r="E821" s="2">
        <v>43336.102430555555</v>
      </c>
      <c r="F821" t="s">
        <v>587</v>
      </c>
      <c r="G821" t="s">
        <v>457</v>
      </c>
      <c r="H821" t="s">
        <v>451</v>
      </c>
      <c r="I821" t="s">
        <v>527</v>
      </c>
      <c r="J821" t="s">
        <v>520</v>
      </c>
    </row>
    <row r="822" spans="1:10" hidden="1" x14ac:dyDescent="0.25">
      <c r="A822" t="s">
        <v>234</v>
      </c>
      <c r="B822" t="s">
        <v>6</v>
      </c>
      <c r="C822" t="s">
        <v>7</v>
      </c>
      <c r="D822" t="s">
        <v>10</v>
      </c>
      <c r="E822" s="2">
        <v>43336.102488425924</v>
      </c>
      <c r="F822" t="s">
        <v>585</v>
      </c>
      <c r="G822" t="s">
        <v>318</v>
      </c>
      <c r="H822" t="s">
        <v>433</v>
      </c>
      <c r="I822" t="s">
        <v>494</v>
      </c>
      <c r="J822" t="s">
        <v>501</v>
      </c>
    </row>
    <row r="823" spans="1:10" hidden="1" x14ac:dyDescent="0.25">
      <c r="A823" t="s">
        <v>174</v>
      </c>
      <c r="B823" t="s">
        <v>6</v>
      </c>
      <c r="C823" t="s">
        <v>7</v>
      </c>
      <c r="D823" t="s">
        <v>10</v>
      </c>
      <c r="E823" s="2">
        <v>43336.10255787037</v>
      </c>
      <c r="F823" t="s">
        <v>303</v>
      </c>
      <c r="G823" t="s">
        <v>427</v>
      </c>
      <c r="H823" t="s">
        <v>448</v>
      </c>
      <c r="I823" t="s">
        <v>494</v>
      </c>
      <c r="J823" t="s">
        <v>501</v>
      </c>
    </row>
    <row r="824" spans="1:10" hidden="1" x14ac:dyDescent="0.25">
      <c r="A824" t="s">
        <v>220</v>
      </c>
      <c r="B824" t="s">
        <v>6</v>
      </c>
      <c r="C824" t="s">
        <v>7</v>
      </c>
      <c r="D824" t="s">
        <v>27</v>
      </c>
      <c r="E824" s="2">
        <v>43336.102638888886</v>
      </c>
      <c r="F824" t="s">
        <v>298</v>
      </c>
      <c r="G824" t="s">
        <v>318</v>
      </c>
      <c r="H824" t="s">
        <v>434</v>
      </c>
      <c r="I824" t="s">
        <v>509</v>
      </c>
      <c r="J824" t="s">
        <v>510</v>
      </c>
    </row>
    <row r="825" spans="1:10" hidden="1" x14ac:dyDescent="0.25">
      <c r="A825" t="s">
        <v>94</v>
      </c>
      <c r="B825" t="s">
        <v>6</v>
      </c>
      <c r="C825" t="s">
        <v>7</v>
      </c>
      <c r="D825" t="s">
        <v>10</v>
      </c>
      <c r="E825" s="2">
        <v>43336.102789351855</v>
      </c>
      <c r="F825" t="s">
        <v>299</v>
      </c>
      <c r="G825" t="s">
        <v>318</v>
      </c>
      <c r="H825" t="s">
        <v>435</v>
      </c>
      <c r="I825" t="s">
        <v>492</v>
      </c>
      <c r="J825" t="s">
        <v>546</v>
      </c>
    </row>
    <row r="826" spans="1:10" hidden="1" x14ac:dyDescent="0.25">
      <c r="A826" t="s">
        <v>366</v>
      </c>
      <c r="B826" t="s">
        <v>6</v>
      </c>
      <c r="C826" t="s">
        <v>7</v>
      </c>
      <c r="D826" t="s">
        <v>13</v>
      </c>
      <c r="E826" s="2">
        <v>43336.102986111109</v>
      </c>
      <c r="F826" t="s">
        <v>591</v>
      </c>
      <c r="G826" t="s">
        <v>318</v>
      </c>
      <c r="H826" t="s">
        <v>430</v>
      </c>
      <c r="I826" t="s">
        <v>554</v>
      </c>
      <c r="J826" t="s">
        <v>556</v>
      </c>
    </row>
    <row r="827" spans="1:10" hidden="1" x14ac:dyDescent="0.25">
      <c r="A827" t="s">
        <v>486</v>
      </c>
      <c r="B827" t="s">
        <v>6</v>
      </c>
      <c r="C827" t="s">
        <v>7</v>
      </c>
      <c r="D827" t="s">
        <v>10</v>
      </c>
      <c r="E827" s="2">
        <v>43336.103043981479</v>
      </c>
      <c r="F827" t="s">
        <v>587</v>
      </c>
      <c r="G827" t="s">
        <v>457</v>
      </c>
      <c r="H827" t="s">
        <v>452</v>
      </c>
      <c r="I827" t="s">
        <v>524</v>
      </c>
      <c r="J827" t="s">
        <v>520</v>
      </c>
    </row>
    <row r="828" spans="1:10" hidden="1" x14ac:dyDescent="0.25">
      <c r="A828" t="s">
        <v>107</v>
      </c>
      <c r="B828" t="s">
        <v>6</v>
      </c>
      <c r="C828" t="s">
        <v>7</v>
      </c>
      <c r="D828" t="s">
        <v>10</v>
      </c>
      <c r="E828" s="2">
        <v>43336.103043981479</v>
      </c>
      <c r="F828" t="s">
        <v>300</v>
      </c>
      <c r="G828" t="s">
        <v>461</v>
      </c>
      <c r="H828" t="s">
        <v>323</v>
      </c>
      <c r="I828" t="s">
        <v>494</v>
      </c>
      <c r="J828" t="s">
        <v>13</v>
      </c>
    </row>
    <row r="829" spans="1:10" hidden="1" x14ac:dyDescent="0.25">
      <c r="A829" t="s">
        <v>238</v>
      </c>
      <c r="B829" t="s">
        <v>6</v>
      </c>
      <c r="C829" t="s">
        <v>7</v>
      </c>
      <c r="D829" t="s">
        <v>13</v>
      </c>
      <c r="E829" s="2">
        <v>43336.103055555555</v>
      </c>
      <c r="F829" t="s">
        <v>590</v>
      </c>
      <c r="G829" t="s">
        <v>428</v>
      </c>
      <c r="H829" t="s">
        <v>459</v>
      </c>
      <c r="I829" t="s">
        <v>494</v>
      </c>
      <c r="J829" t="s">
        <v>497</v>
      </c>
    </row>
    <row r="830" spans="1:10" hidden="1" x14ac:dyDescent="0.25">
      <c r="A830" t="s">
        <v>294</v>
      </c>
      <c r="B830" t="s">
        <v>6</v>
      </c>
      <c r="C830" t="s">
        <v>7</v>
      </c>
      <c r="D830" t="s">
        <v>10</v>
      </c>
      <c r="E830" s="2">
        <v>43336.103113425925</v>
      </c>
      <c r="F830" t="s">
        <v>585</v>
      </c>
      <c r="G830" t="s">
        <v>318</v>
      </c>
      <c r="H830" t="s">
        <v>434</v>
      </c>
      <c r="I830" t="s">
        <v>494</v>
      </c>
      <c r="J830" t="s">
        <v>501</v>
      </c>
    </row>
    <row r="831" spans="1:10" hidden="1" x14ac:dyDescent="0.25">
      <c r="A831" t="s">
        <v>290</v>
      </c>
      <c r="B831" t="s">
        <v>6</v>
      </c>
      <c r="C831" t="s">
        <v>7</v>
      </c>
      <c r="D831" t="s">
        <v>10</v>
      </c>
      <c r="E831" s="2">
        <v>43336.103182870371</v>
      </c>
      <c r="F831" t="s">
        <v>303</v>
      </c>
      <c r="G831" t="s">
        <v>427</v>
      </c>
      <c r="H831" t="s">
        <v>449</v>
      </c>
      <c r="I831" t="s">
        <v>494</v>
      </c>
      <c r="J831" t="s">
        <v>501</v>
      </c>
    </row>
    <row r="832" spans="1:10" hidden="1" x14ac:dyDescent="0.25">
      <c r="A832" t="s">
        <v>91</v>
      </c>
      <c r="B832" t="s">
        <v>6</v>
      </c>
      <c r="C832" t="s">
        <v>7</v>
      </c>
      <c r="D832" t="s">
        <v>10</v>
      </c>
      <c r="E832" s="2">
        <v>43336.103541666664</v>
      </c>
      <c r="F832" t="s">
        <v>299</v>
      </c>
      <c r="G832" t="s">
        <v>318</v>
      </c>
      <c r="H832" t="s">
        <v>436</v>
      </c>
      <c r="I832" t="s">
        <v>492</v>
      </c>
      <c r="J832" t="s">
        <v>546</v>
      </c>
    </row>
    <row r="833" spans="1:10" hidden="1" x14ac:dyDescent="0.25">
      <c r="A833" t="s">
        <v>93</v>
      </c>
      <c r="B833" t="s">
        <v>6</v>
      </c>
      <c r="C833" t="s">
        <v>7</v>
      </c>
      <c r="D833" t="s">
        <v>10</v>
      </c>
      <c r="E833" s="2">
        <v>43336.103668981479</v>
      </c>
      <c r="F833" t="s">
        <v>300</v>
      </c>
      <c r="G833" t="s">
        <v>461</v>
      </c>
      <c r="H833" t="s">
        <v>385</v>
      </c>
      <c r="I833" t="s">
        <v>552</v>
      </c>
      <c r="J833" t="s">
        <v>565</v>
      </c>
    </row>
    <row r="834" spans="1:10" hidden="1" x14ac:dyDescent="0.25">
      <c r="A834" t="s">
        <v>387</v>
      </c>
      <c r="B834" t="s">
        <v>6</v>
      </c>
      <c r="C834" t="s">
        <v>7</v>
      </c>
      <c r="D834" t="s">
        <v>10</v>
      </c>
      <c r="E834" s="2">
        <v>43336.103668981479</v>
      </c>
      <c r="F834" t="s">
        <v>587</v>
      </c>
      <c r="G834" t="s">
        <v>457</v>
      </c>
      <c r="H834" t="s">
        <v>318</v>
      </c>
      <c r="I834" t="s">
        <v>490</v>
      </c>
      <c r="J834" t="s">
        <v>491</v>
      </c>
    </row>
    <row r="835" spans="1:10" hidden="1" x14ac:dyDescent="0.25">
      <c r="A835" t="s">
        <v>379</v>
      </c>
      <c r="B835" t="s">
        <v>6</v>
      </c>
      <c r="C835" t="s">
        <v>7</v>
      </c>
      <c r="D835" t="s">
        <v>13</v>
      </c>
      <c r="E835" s="2">
        <v>43336.103738425925</v>
      </c>
      <c r="F835" t="s">
        <v>591</v>
      </c>
      <c r="G835" t="s">
        <v>318</v>
      </c>
      <c r="H835" t="s">
        <v>431</v>
      </c>
      <c r="I835" t="s">
        <v>554</v>
      </c>
      <c r="J835" t="s">
        <v>556</v>
      </c>
    </row>
    <row r="836" spans="1:10" hidden="1" x14ac:dyDescent="0.25">
      <c r="A836" t="s">
        <v>295</v>
      </c>
      <c r="B836" t="s">
        <v>6</v>
      </c>
      <c r="C836" t="s">
        <v>7</v>
      </c>
      <c r="D836" t="s">
        <v>10</v>
      </c>
      <c r="E836" s="2">
        <v>43336.103738425925</v>
      </c>
      <c r="F836" t="s">
        <v>585</v>
      </c>
      <c r="G836" t="s">
        <v>318</v>
      </c>
      <c r="H836" t="s">
        <v>435</v>
      </c>
      <c r="I836" t="s">
        <v>494</v>
      </c>
      <c r="J836" t="s">
        <v>501</v>
      </c>
    </row>
    <row r="837" spans="1:10" hidden="1" x14ac:dyDescent="0.25">
      <c r="A837" t="s">
        <v>236</v>
      </c>
      <c r="B837" t="s">
        <v>6</v>
      </c>
      <c r="C837" t="s">
        <v>7</v>
      </c>
      <c r="D837" t="s">
        <v>10</v>
      </c>
      <c r="E837" s="2">
        <v>43336.103784722225</v>
      </c>
      <c r="F837" t="s">
        <v>303</v>
      </c>
      <c r="G837" t="s">
        <v>427</v>
      </c>
      <c r="H837" t="s">
        <v>450</v>
      </c>
      <c r="I837" t="s">
        <v>494</v>
      </c>
      <c r="J837" t="s">
        <v>501</v>
      </c>
    </row>
    <row r="838" spans="1:10" hidden="1" x14ac:dyDescent="0.25">
      <c r="A838" t="s">
        <v>23</v>
      </c>
      <c r="B838" t="s">
        <v>6</v>
      </c>
      <c r="C838" t="s">
        <v>7</v>
      </c>
      <c r="D838" t="s">
        <v>13</v>
      </c>
      <c r="E838" s="2">
        <v>43336.103819444441</v>
      </c>
      <c r="F838" t="s">
        <v>590</v>
      </c>
      <c r="G838" t="s">
        <v>428</v>
      </c>
      <c r="H838" t="s">
        <v>460</v>
      </c>
      <c r="I838" t="s">
        <v>494</v>
      </c>
      <c r="J838" t="s">
        <v>497</v>
      </c>
    </row>
    <row r="839" spans="1:10" hidden="1" x14ac:dyDescent="0.25">
      <c r="A839" t="s">
        <v>224</v>
      </c>
      <c r="B839" t="s">
        <v>6</v>
      </c>
      <c r="C839" t="s">
        <v>7</v>
      </c>
      <c r="D839" t="s">
        <v>484</v>
      </c>
      <c r="E839" s="2">
        <v>43336.104108796295</v>
      </c>
      <c r="F839" t="s">
        <v>298</v>
      </c>
      <c r="G839" t="s">
        <v>318</v>
      </c>
      <c r="H839" t="s">
        <v>435</v>
      </c>
      <c r="I839" t="s">
        <v>13</v>
      </c>
      <c r="J839" t="s">
        <v>516</v>
      </c>
    </row>
    <row r="840" spans="1:10" hidden="1" x14ac:dyDescent="0.25">
      <c r="A840" t="s">
        <v>89</v>
      </c>
      <c r="B840" t="s">
        <v>6</v>
      </c>
      <c r="C840" t="s">
        <v>7</v>
      </c>
      <c r="D840" t="s">
        <v>10</v>
      </c>
      <c r="E840" s="2">
        <v>43336.104201388887</v>
      </c>
      <c r="F840" t="s">
        <v>299</v>
      </c>
      <c r="G840" t="s">
        <v>318</v>
      </c>
      <c r="H840" t="s">
        <v>437</v>
      </c>
      <c r="I840" t="s">
        <v>492</v>
      </c>
      <c r="J840" t="s">
        <v>546</v>
      </c>
    </row>
    <row r="841" spans="1:10" hidden="1" x14ac:dyDescent="0.25">
      <c r="A841" t="s">
        <v>369</v>
      </c>
      <c r="B841" t="s">
        <v>6</v>
      </c>
      <c r="C841" t="s">
        <v>7</v>
      </c>
      <c r="D841" t="s">
        <v>10</v>
      </c>
      <c r="E841" s="2">
        <v>43336.10429398148</v>
      </c>
      <c r="F841" t="s">
        <v>587</v>
      </c>
      <c r="G841" t="s">
        <v>457</v>
      </c>
      <c r="H841" t="s">
        <v>323</v>
      </c>
      <c r="I841" t="s">
        <v>490</v>
      </c>
      <c r="J841" t="s">
        <v>491</v>
      </c>
    </row>
    <row r="842" spans="1:10" hidden="1" x14ac:dyDescent="0.25">
      <c r="A842" t="s">
        <v>68</v>
      </c>
      <c r="B842" t="s">
        <v>6</v>
      </c>
      <c r="C842" t="s">
        <v>7</v>
      </c>
      <c r="D842" t="s">
        <v>10</v>
      </c>
      <c r="E842" s="2">
        <v>43336.104305555556</v>
      </c>
      <c r="F842" t="s">
        <v>300</v>
      </c>
      <c r="G842" t="s">
        <v>461</v>
      </c>
      <c r="H842" t="s">
        <v>457</v>
      </c>
      <c r="I842" t="s">
        <v>552</v>
      </c>
      <c r="J842" t="s">
        <v>568</v>
      </c>
    </row>
    <row r="843" spans="1:10" hidden="1" x14ac:dyDescent="0.25">
      <c r="A843" t="s">
        <v>178</v>
      </c>
      <c r="B843" t="s">
        <v>6</v>
      </c>
      <c r="C843" t="s">
        <v>7</v>
      </c>
      <c r="D843" t="s">
        <v>10</v>
      </c>
      <c r="E843" s="2">
        <v>43336.104386574072</v>
      </c>
      <c r="F843" t="s">
        <v>585</v>
      </c>
      <c r="G843" t="s">
        <v>318</v>
      </c>
      <c r="H843" t="s">
        <v>436</v>
      </c>
      <c r="I843" t="s">
        <v>494</v>
      </c>
      <c r="J843" t="s">
        <v>501</v>
      </c>
    </row>
    <row r="844" spans="1:10" hidden="1" x14ac:dyDescent="0.25">
      <c r="A844" t="s">
        <v>173</v>
      </c>
      <c r="B844" t="s">
        <v>6</v>
      </c>
      <c r="C844" t="s">
        <v>7</v>
      </c>
      <c r="D844" t="s">
        <v>10</v>
      </c>
      <c r="E844" s="2">
        <v>43336.104398148149</v>
      </c>
      <c r="F844" t="s">
        <v>303</v>
      </c>
      <c r="G844" t="s">
        <v>427</v>
      </c>
      <c r="H844" t="s">
        <v>451</v>
      </c>
      <c r="I844" t="s">
        <v>494</v>
      </c>
      <c r="J844" t="s">
        <v>501</v>
      </c>
    </row>
    <row r="845" spans="1:10" hidden="1" x14ac:dyDescent="0.25">
      <c r="A845" t="s">
        <v>22</v>
      </c>
      <c r="B845" t="s">
        <v>6</v>
      </c>
      <c r="C845" t="s">
        <v>7</v>
      </c>
      <c r="D845" t="s">
        <v>476</v>
      </c>
      <c r="E845" s="2">
        <v>43336.104444444441</v>
      </c>
      <c r="F845" t="s">
        <v>590</v>
      </c>
      <c r="G845" t="s">
        <v>428</v>
      </c>
      <c r="H845" t="s">
        <v>461</v>
      </c>
      <c r="I845" t="s">
        <v>494</v>
      </c>
      <c r="J845" t="s">
        <v>497</v>
      </c>
    </row>
    <row r="846" spans="1:10" hidden="1" x14ac:dyDescent="0.25">
      <c r="A846" t="s">
        <v>418</v>
      </c>
      <c r="B846" t="s">
        <v>6</v>
      </c>
      <c r="C846" t="s">
        <v>7</v>
      </c>
      <c r="D846" t="s">
        <v>13</v>
      </c>
      <c r="E846" s="2">
        <v>43336.104525462964</v>
      </c>
      <c r="F846" t="s">
        <v>591</v>
      </c>
      <c r="G846" t="s">
        <v>318</v>
      </c>
      <c r="H846" t="s">
        <v>432</v>
      </c>
      <c r="I846" t="s">
        <v>554</v>
      </c>
      <c r="J846" t="s">
        <v>556</v>
      </c>
    </row>
    <row r="847" spans="1:10" hidden="1" x14ac:dyDescent="0.25">
      <c r="A847" t="s">
        <v>313</v>
      </c>
      <c r="B847" t="s">
        <v>306</v>
      </c>
      <c r="C847" t="s">
        <v>306</v>
      </c>
      <c r="D847" t="s">
        <v>307</v>
      </c>
      <c r="E847" s="2">
        <v>43336.104664351849</v>
      </c>
      <c r="F847" t="s">
        <v>586</v>
      </c>
      <c r="G847" t="s">
        <v>318</v>
      </c>
      <c r="H847" t="s">
        <v>431</v>
      </c>
      <c r="I847" t="s">
        <v>490</v>
      </c>
      <c r="J847" t="s">
        <v>491</v>
      </c>
    </row>
    <row r="848" spans="1:10" hidden="1" x14ac:dyDescent="0.25">
      <c r="A848" t="s">
        <v>225</v>
      </c>
      <c r="B848" t="s">
        <v>6</v>
      </c>
      <c r="C848" t="s">
        <v>7</v>
      </c>
      <c r="D848" t="s">
        <v>10</v>
      </c>
      <c r="E848" s="2">
        <v>43336.104722222219</v>
      </c>
      <c r="F848" t="s">
        <v>298</v>
      </c>
      <c r="G848" t="s">
        <v>318</v>
      </c>
      <c r="H848" t="s">
        <v>436</v>
      </c>
      <c r="I848" t="s">
        <v>492</v>
      </c>
      <c r="J848" t="s">
        <v>493</v>
      </c>
    </row>
    <row r="849" spans="1:10" hidden="1" x14ac:dyDescent="0.25">
      <c r="A849" t="s">
        <v>92</v>
      </c>
      <c r="B849" t="s">
        <v>6</v>
      </c>
      <c r="C849" t="s">
        <v>7</v>
      </c>
      <c r="D849" t="s">
        <v>10</v>
      </c>
      <c r="E849" s="2">
        <v>43336.104872685188</v>
      </c>
      <c r="F849" t="s">
        <v>299</v>
      </c>
      <c r="G849" t="s">
        <v>318</v>
      </c>
      <c r="H849" t="s">
        <v>438</v>
      </c>
      <c r="I849" t="s">
        <v>492</v>
      </c>
      <c r="J849" t="s">
        <v>546</v>
      </c>
    </row>
    <row r="850" spans="1:10" hidden="1" x14ac:dyDescent="0.25">
      <c r="A850" t="s">
        <v>172</v>
      </c>
      <c r="B850" t="s">
        <v>6</v>
      </c>
      <c r="C850" t="s">
        <v>7</v>
      </c>
      <c r="D850" t="s">
        <v>10</v>
      </c>
      <c r="E850" s="2">
        <v>43336.105034722219</v>
      </c>
      <c r="F850" t="s">
        <v>303</v>
      </c>
      <c r="G850" t="s">
        <v>427</v>
      </c>
      <c r="H850" t="s">
        <v>452</v>
      </c>
      <c r="I850" t="s">
        <v>494</v>
      </c>
      <c r="J850" t="s">
        <v>501</v>
      </c>
    </row>
    <row r="851" spans="1:10" hidden="1" x14ac:dyDescent="0.25">
      <c r="A851" t="s">
        <v>319</v>
      </c>
      <c r="B851" t="s">
        <v>6</v>
      </c>
      <c r="C851" t="s">
        <v>7</v>
      </c>
      <c r="D851" t="s">
        <v>27</v>
      </c>
      <c r="E851" s="2">
        <v>43336.105046296296</v>
      </c>
      <c r="F851" t="s">
        <v>587</v>
      </c>
      <c r="G851" t="s">
        <v>457</v>
      </c>
      <c r="H851" t="s">
        <v>385</v>
      </c>
      <c r="I851" t="s">
        <v>490</v>
      </c>
      <c r="J851" t="s">
        <v>491</v>
      </c>
    </row>
    <row r="852" spans="1:10" hidden="1" x14ac:dyDescent="0.25">
      <c r="A852" t="s">
        <v>95</v>
      </c>
      <c r="B852" t="s">
        <v>6</v>
      </c>
      <c r="C852" t="s">
        <v>7</v>
      </c>
      <c r="D852" t="s">
        <v>10</v>
      </c>
      <c r="E852" s="2">
        <v>43336.105046296296</v>
      </c>
      <c r="F852" t="s">
        <v>300</v>
      </c>
      <c r="G852" t="s">
        <v>461</v>
      </c>
      <c r="H852" t="s">
        <v>458</v>
      </c>
      <c r="I852" t="s">
        <v>552</v>
      </c>
      <c r="J852" t="s">
        <v>568</v>
      </c>
    </row>
    <row r="853" spans="1:10" hidden="1" x14ac:dyDescent="0.25">
      <c r="A853" t="s">
        <v>21</v>
      </c>
      <c r="B853" t="s">
        <v>6</v>
      </c>
      <c r="C853" t="s">
        <v>7</v>
      </c>
      <c r="D853" t="s">
        <v>13</v>
      </c>
      <c r="E853" s="2">
        <v>43336.105196759258</v>
      </c>
      <c r="F853" t="s">
        <v>590</v>
      </c>
      <c r="G853" t="s">
        <v>428</v>
      </c>
      <c r="H853" t="s">
        <v>462</v>
      </c>
      <c r="I853" t="s">
        <v>494</v>
      </c>
      <c r="J853" t="s">
        <v>497</v>
      </c>
    </row>
    <row r="854" spans="1:10" hidden="1" x14ac:dyDescent="0.25">
      <c r="A854" t="s">
        <v>40</v>
      </c>
      <c r="B854" t="s">
        <v>6</v>
      </c>
      <c r="C854" t="s">
        <v>7</v>
      </c>
      <c r="D854" t="s">
        <v>27</v>
      </c>
      <c r="E854" s="2">
        <v>43336.105219907404</v>
      </c>
      <c r="F854" t="s">
        <v>585</v>
      </c>
      <c r="G854" t="s">
        <v>318</v>
      </c>
      <c r="H854" t="s">
        <v>437</v>
      </c>
      <c r="I854" t="s">
        <v>494</v>
      </c>
      <c r="J854" t="s">
        <v>501</v>
      </c>
    </row>
    <row r="855" spans="1:10" hidden="1" x14ac:dyDescent="0.25">
      <c r="A855" t="s">
        <v>402</v>
      </c>
      <c r="B855" t="s">
        <v>6</v>
      </c>
      <c r="C855" t="s">
        <v>7</v>
      </c>
      <c r="D855" t="s">
        <v>13</v>
      </c>
      <c r="E855" s="2">
        <v>43336.105300925927</v>
      </c>
      <c r="F855" t="s">
        <v>591</v>
      </c>
      <c r="G855" t="s">
        <v>318</v>
      </c>
      <c r="H855" t="s">
        <v>433</v>
      </c>
      <c r="I855" t="s">
        <v>554</v>
      </c>
      <c r="J855" t="s">
        <v>556</v>
      </c>
    </row>
    <row r="856" spans="1:10" hidden="1" x14ac:dyDescent="0.25">
      <c r="A856" t="s">
        <v>229</v>
      </c>
      <c r="B856" t="s">
        <v>6</v>
      </c>
      <c r="C856" t="s">
        <v>7</v>
      </c>
      <c r="D856" t="s">
        <v>10</v>
      </c>
      <c r="E856" s="2">
        <v>43336.105324074073</v>
      </c>
      <c r="F856" t="s">
        <v>298</v>
      </c>
      <c r="G856" t="s">
        <v>318</v>
      </c>
      <c r="H856" t="s">
        <v>437</v>
      </c>
      <c r="I856" t="s">
        <v>492</v>
      </c>
      <c r="J856" t="s">
        <v>493</v>
      </c>
    </row>
    <row r="857" spans="1:10" hidden="1" x14ac:dyDescent="0.25">
      <c r="A857" t="s">
        <v>69</v>
      </c>
      <c r="B857" t="s">
        <v>6</v>
      </c>
      <c r="C857" t="s">
        <v>7</v>
      </c>
      <c r="D857" t="s">
        <v>10</v>
      </c>
      <c r="E857" s="2">
        <v>43336.105555555558</v>
      </c>
      <c r="F857" t="s">
        <v>299</v>
      </c>
      <c r="G857" t="s">
        <v>318</v>
      </c>
      <c r="H857" t="s">
        <v>439</v>
      </c>
      <c r="I857" t="s">
        <v>492</v>
      </c>
      <c r="J857" t="s">
        <v>546</v>
      </c>
    </row>
    <row r="858" spans="1:10" hidden="1" x14ac:dyDescent="0.25">
      <c r="A858" t="s">
        <v>278</v>
      </c>
      <c r="B858" t="s">
        <v>6</v>
      </c>
      <c r="C858" t="s">
        <v>7</v>
      </c>
      <c r="D858" t="s">
        <v>10</v>
      </c>
      <c r="E858" s="2">
        <v>43336.105763888889</v>
      </c>
      <c r="F858" t="s">
        <v>303</v>
      </c>
      <c r="G858" t="s">
        <v>427</v>
      </c>
      <c r="H858" t="s">
        <v>318</v>
      </c>
      <c r="I858" t="s">
        <v>498</v>
      </c>
      <c r="J858" t="s">
        <v>498</v>
      </c>
    </row>
    <row r="859" spans="1:10" hidden="1" x14ac:dyDescent="0.25">
      <c r="A859" t="s">
        <v>58</v>
      </c>
      <c r="B859" t="s">
        <v>6</v>
      </c>
      <c r="C859" t="s">
        <v>7</v>
      </c>
      <c r="D859" t="s">
        <v>10</v>
      </c>
      <c r="E859" s="2">
        <v>43336.105775462966</v>
      </c>
      <c r="F859" t="s">
        <v>300</v>
      </c>
      <c r="G859" t="s">
        <v>461</v>
      </c>
      <c r="H859" t="s">
        <v>459</v>
      </c>
      <c r="I859" t="s">
        <v>552</v>
      </c>
      <c r="J859" t="s">
        <v>568</v>
      </c>
    </row>
    <row r="860" spans="1:10" hidden="1" x14ac:dyDescent="0.25">
      <c r="A860" t="s">
        <v>320</v>
      </c>
      <c r="B860" t="s">
        <v>6</v>
      </c>
      <c r="C860" t="s">
        <v>7</v>
      </c>
      <c r="D860" t="s">
        <v>10</v>
      </c>
      <c r="E860" s="2">
        <v>43336.105798611112</v>
      </c>
      <c r="F860" t="s">
        <v>587</v>
      </c>
      <c r="G860" t="s">
        <v>457</v>
      </c>
      <c r="H860" t="s">
        <v>457</v>
      </c>
      <c r="I860" t="s">
        <v>490</v>
      </c>
      <c r="J860" t="s">
        <v>491</v>
      </c>
    </row>
    <row r="861" spans="1:10" hidden="1" x14ac:dyDescent="0.25">
      <c r="A861" t="s">
        <v>20</v>
      </c>
      <c r="B861" t="s">
        <v>6</v>
      </c>
      <c r="C861" t="s">
        <v>7</v>
      </c>
      <c r="D861" t="s">
        <v>10</v>
      </c>
      <c r="E861" s="2">
        <v>43336.105856481481</v>
      </c>
      <c r="F861" t="s">
        <v>590</v>
      </c>
      <c r="G861" t="s">
        <v>428</v>
      </c>
      <c r="H861" t="s">
        <v>453</v>
      </c>
      <c r="I861" t="s">
        <v>494</v>
      </c>
      <c r="J861" t="s">
        <v>13</v>
      </c>
    </row>
    <row r="862" spans="1:10" hidden="1" x14ac:dyDescent="0.25">
      <c r="A862" t="s">
        <v>149</v>
      </c>
      <c r="B862" t="s">
        <v>6</v>
      </c>
      <c r="C862" t="s">
        <v>7</v>
      </c>
      <c r="D862" t="s">
        <v>10</v>
      </c>
      <c r="E862" s="2">
        <v>43336.105879629627</v>
      </c>
      <c r="F862" t="s">
        <v>585</v>
      </c>
      <c r="G862" t="s">
        <v>318</v>
      </c>
      <c r="H862" t="s">
        <v>438</v>
      </c>
      <c r="I862" t="s">
        <v>494</v>
      </c>
      <c r="J862" t="s">
        <v>501</v>
      </c>
    </row>
    <row r="863" spans="1:10" hidden="1" x14ac:dyDescent="0.25">
      <c r="A863" t="s">
        <v>223</v>
      </c>
      <c r="B863" t="s">
        <v>6</v>
      </c>
      <c r="C863" t="s">
        <v>7</v>
      </c>
      <c r="D863" t="s">
        <v>10</v>
      </c>
      <c r="E863" s="2">
        <v>43336.105925925927</v>
      </c>
      <c r="F863" t="s">
        <v>298</v>
      </c>
      <c r="G863" t="s">
        <v>318</v>
      </c>
      <c r="H863" t="s">
        <v>438</v>
      </c>
      <c r="I863" t="s">
        <v>509</v>
      </c>
      <c r="J863" t="s">
        <v>510</v>
      </c>
    </row>
    <row r="864" spans="1:10" hidden="1" x14ac:dyDescent="0.25">
      <c r="A864" t="s">
        <v>403</v>
      </c>
      <c r="B864" t="s">
        <v>6</v>
      </c>
      <c r="C864" t="s">
        <v>7</v>
      </c>
      <c r="D864" t="s">
        <v>13</v>
      </c>
      <c r="E864" s="2">
        <v>43336.106076388889</v>
      </c>
      <c r="F864" t="s">
        <v>591</v>
      </c>
      <c r="G864" t="s">
        <v>318</v>
      </c>
      <c r="H864" t="s">
        <v>434</v>
      </c>
      <c r="I864" t="s">
        <v>554</v>
      </c>
      <c r="J864" t="s">
        <v>556</v>
      </c>
    </row>
    <row r="865" spans="1:10" hidden="1" x14ac:dyDescent="0.25">
      <c r="A865" t="s">
        <v>152</v>
      </c>
      <c r="B865" t="s">
        <v>6</v>
      </c>
      <c r="C865" t="s">
        <v>7</v>
      </c>
      <c r="D865" t="s">
        <v>10</v>
      </c>
      <c r="E865" s="2">
        <v>43336.106192129628</v>
      </c>
      <c r="F865" t="s">
        <v>299</v>
      </c>
      <c r="G865" t="s">
        <v>318</v>
      </c>
      <c r="H865" t="s">
        <v>440</v>
      </c>
      <c r="I865" t="s">
        <v>492</v>
      </c>
      <c r="J865" t="s">
        <v>546</v>
      </c>
    </row>
    <row r="866" spans="1:10" hidden="1" x14ac:dyDescent="0.25">
      <c r="A866" t="s">
        <v>147</v>
      </c>
      <c r="B866" t="s">
        <v>6</v>
      </c>
      <c r="C866" t="s">
        <v>7</v>
      </c>
      <c r="D866" t="s">
        <v>10</v>
      </c>
      <c r="E866" s="2">
        <v>43336.106400462966</v>
      </c>
      <c r="F866" t="s">
        <v>303</v>
      </c>
      <c r="G866" t="s">
        <v>427</v>
      </c>
      <c r="H866" t="s">
        <v>323</v>
      </c>
      <c r="I866" t="s">
        <v>498</v>
      </c>
      <c r="J866" t="s">
        <v>498</v>
      </c>
    </row>
    <row r="867" spans="1:10" hidden="1" x14ac:dyDescent="0.25">
      <c r="A867" t="s">
        <v>54</v>
      </c>
      <c r="B867" t="s">
        <v>6</v>
      </c>
      <c r="C867" t="s">
        <v>7</v>
      </c>
      <c r="D867" t="s">
        <v>10</v>
      </c>
      <c r="E867" s="2">
        <v>43336.106423611112</v>
      </c>
      <c r="F867" t="s">
        <v>300</v>
      </c>
      <c r="G867" t="s">
        <v>461</v>
      </c>
      <c r="H867" t="s">
        <v>460</v>
      </c>
      <c r="I867" t="s">
        <v>552</v>
      </c>
      <c r="J867" t="s">
        <v>568</v>
      </c>
    </row>
    <row r="868" spans="1:10" hidden="1" x14ac:dyDescent="0.25">
      <c r="A868" t="s">
        <v>19</v>
      </c>
      <c r="B868" t="s">
        <v>6</v>
      </c>
      <c r="C868" t="s">
        <v>7</v>
      </c>
      <c r="D868" t="s">
        <v>10</v>
      </c>
      <c r="E868" s="2">
        <v>43336.106481481482</v>
      </c>
      <c r="F868" t="s">
        <v>590</v>
      </c>
      <c r="G868" t="s">
        <v>428</v>
      </c>
      <c r="H868" t="s">
        <v>454</v>
      </c>
      <c r="I868" t="s">
        <v>494</v>
      </c>
      <c r="J868" t="s">
        <v>509</v>
      </c>
    </row>
    <row r="869" spans="1:10" hidden="1" x14ac:dyDescent="0.25">
      <c r="A869" t="s">
        <v>176</v>
      </c>
      <c r="B869" t="s">
        <v>6</v>
      </c>
      <c r="C869" t="s">
        <v>7</v>
      </c>
      <c r="D869" t="s">
        <v>10</v>
      </c>
      <c r="E869" s="2">
        <v>43336.106516203705</v>
      </c>
      <c r="F869" t="s">
        <v>585</v>
      </c>
      <c r="G869" t="s">
        <v>318</v>
      </c>
      <c r="H869" t="s">
        <v>439</v>
      </c>
      <c r="I869" t="s">
        <v>494</v>
      </c>
      <c r="J869" t="s">
        <v>495</v>
      </c>
    </row>
    <row r="870" spans="1:10" hidden="1" x14ac:dyDescent="0.25">
      <c r="A870" t="s">
        <v>167</v>
      </c>
      <c r="B870" t="s">
        <v>6</v>
      </c>
      <c r="C870" t="s">
        <v>7</v>
      </c>
      <c r="D870" t="s">
        <v>10</v>
      </c>
      <c r="E870" s="2">
        <v>43336.106550925928</v>
      </c>
      <c r="F870" t="s">
        <v>298</v>
      </c>
      <c r="G870" t="s">
        <v>318</v>
      </c>
      <c r="H870" t="s">
        <v>439</v>
      </c>
      <c r="I870" t="s">
        <v>492</v>
      </c>
      <c r="J870" t="s">
        <v>493</v>
      </c>
    </row>
    <row r="871" spans="1:10" hidden="1" x14ac:dyDescent="0.25">
      <c r="A871" t="s">
        <v>359</v>
      </c>
      <c r="B871" t="s">
        <v>6</v>
      </c>
      <c r="C871" t="s">
        <v>7</v>
      </c>
      <c r="D871" t="s">
        <v>27</v>
      </c>
      <c r="E871" s="2">
        <v>43336.106562499997</v>
      </c>
      <c r="F871" t="s">
        <v>587</v>
      </c>
      <c r="G871" t="s">
        <v>457</v>
      </c>
      <c r="H871" t="s">
        <v>458</v>
      </c>
      <c r="I871" t="s">
        <v>490</v>
      </c>
      <c r="J871" t="s">
        <v>491</v>
      </c>
    </row>
    <row r="872" spans="1:10" hidden="1" x14ac:dyDescent="0.25">
      <c r="A872" t="s">
        <v>67</v>
      </c>
      <c r="B872" t="s">
        <v>6</v>
      </c>
      <c r="C872" t="s">
        <v>7</v>
      </c>
      <c r="D872" t="s">
        <v>10</v>
      </c>
      <c r="E872" s="2">
        <v>43336.106840277775</v>
      </c>
      <c r="F872" t="s">
        <v>299</v>
      </c>
      <c r="G872" t="s">
        <v>318</v>
      </c>
      <c r="H872" t="s">
        <v>441</v>
      </c>
      <c r="I872" t="s">
        <v>492</v>
      </c>
      <c r="J872" t="s">
        <v>546</v>
      </c>
    </row>
    <row r="873" spans="1:10" hidden="1" x14ac:dyDescent="0.25">
      <c r="A873" t="s">
        <v>416</v>
      </c>
      <c r="B873" t="s">
        <v>6</v>
      </c>
      <c r="C873" t="s">
        <v>7</v>
      </c>
      <c r="D873" t="s">
        <v>13</v>
      </c>
      <c r="E873" s="2">
        <v>43336.106874999998</v>
      </c>
      <c r="F873" t="s">
        <v>591</v>
      </c>
      <c r="G873" t="s">
        <v>318</v>
      </c>
      <c r="H873" t="s">
        <v>435</v>
      </c>
      <c r="I873" t="s">
        <v>554</v>
      </c>
      <c r="J873" t="s">
        <v>556</v>
      </c>
    </row>
    <row r="874" spans="1:10" hidden="1" x14ac:dyDescent="0.25">
      <c r="A874" t="s">
        <v>279</v>
      </c>
      <c r="B874" t="s">
        <v>6</v>
      </c>
      <c r="C874" t="s">
        <v>7</v>
      </c>
      <c r="D874" t="s">
        <v>10</v>
      </c>
      <c r="E874" s="2">
        <v>43336.107037037036</v>
      </c>
      <c r="F874" t="s">
        <v>303</v>
      </c>
      <c r="G874" t="s">
        <v>427</v>
      </c>
      <c r="H874" t="s">
        <v>385</v>
      </c>
      <c r="I874" t="s">
        <v>498</v>
      </c>
      <c r="J874" t="s">
        <v>498</v>
      </c>
    </row>
    <row r="875" spans="1:10" hidden="1" x14ac:dyDescent="0.25">
      <c r="A875" t="s">
        <v>102</v>
      </c>
      <c r="B875" t="s">
        <v>6</v>
      </c>
      <c r="C875" t="s">
        <v>7</v>
      </c>
      <c r="D875" t="s">
        <v>10</v>
      </c>
      <c r="E875" s="2">
        <v>43336.107060185182</v>
      </c>
      <c r="F875" t="s">
        <v>300</v>
      </c>
      <c r="G875" t="s">
        <v>461</v>
      </c>
      <c r="H875" t="s">
        <v>461</v>
      </c>
      <c r="I875" t="s">
        <v>533</v>
      </c>
      <c r="J875" t="s">
        <v>543</v>
      </c>
    </row>
    <row r="876" spans="1:10" hidden="1" x14ac:dyDescent="0.25">
      <c r="A876" t="s">
        <v>18</v>
      </c>
      <c r="B876" t="s">
        <v>6</v>
      </c>
      <c r="C876" t="s">
        <v>7</v>
      </c>
      <c r="D876" t="s">
        <v>10</v>
      </c>
      <c r="E876" s="2">
        <v>43336.107106481482</v>
      </c>
      <c r="F876" t="s">
        <v>590</v>
      </c>
      <c r="G876" t="s">
        <v>428</v>
      </c>
      <c r="H876" t="s">
        <v>455</v>
      </c>
      <c r="I876" t="s">
        <v>494</v>
      </c>
      <c r="J876" t="s">
        <v>492</v>
      </c>
    </row>
    <row r="877" spans="1:10" hidden="1" x14ac:dyDescent="0.25">
      <c r="A877" t="s">
        <v>39</v>
      </c>
      <c r="B877" t="s">
        <v>6</v>
      </c>
      <c r="C877" t="s">
        <v>7</v>
      </c>
      <c r="D877" t="s">
        <v>10</v>
      </c>
      <c r="E877" s="2">
        <v>43336.107175925928</v>
      </c>
      <c r="F877" t="s">
        <v>585</v>
      </c>
      <c r="G877" t="s">
        <v>318</v>
      </c>
      <c r="H877" t="s">
        <v>440</v>
      </c>
      <c r="I877" t="s">
        <v>494</v>
      </c>
      <c r="J877" t="s">
        <v>495</v>
      </c>
    </row>
    <row r="878" spans="1:10" hidden="1" x14ac:dyDescent="0.25">
      <c r="A878" t="s">
        <v>165</v>
      </c>
      <c r="B878" t="s">
        <v>6</v>
      </c>
      <c r="C878" t="s">
        <v>7</v>
      </c>
      <c r="D878" t="s">
        <v>10</v>
      </c>
      <c r="E878" s="2">
        <v>43336.107175925928</v>
      </c>
      <c r="F878" t="s">
        <v>298</v>
      </c>
      <c r="G878" t="s">
        <v>318</v>
      </c>
      <c r="H878" t="s">
        <v>440</v>
      </c>
      <c r="I878" t="s">
        <v>492</v>
      </c>
      <c r="J878" t="s">
        <v>493</v>
      </c>
    </row>
    <row r="879" spans="1:10" hidden="1" x14ac:dyDescent="0.25">
      <c r="A879" t="s">
        <v>360</v>
      </c>
      <c r="B879" t="s">
        <v>6</v>
      </c>
      <c r="C879" t="s">
        <v>7</v>
      </c>
      <c r="D879" t="s">
        <v>10</v>
      </c>
      <c r="E879" s="2">
        <v>43336.107210648152</v>
      </c>
      <c r="F879" t="s">
        <v>587</v>
      </c>
      <c r="G879" t="s">
        <v>457</v>
      </c>
      <c r="H879" t="s">
        <v>459</v>
      </c>
      <c r="I879" t="s">
        <v>490</v>
      </c>
      <c r="J879" t="s">
        <v>491</v>
      </c>
    </row>
    <row r="880" spans="1:10" hidden="1" x14ac:dyDescent="0.25">
      <c r="A880" t="s">
        <v>314</v>
      </c>
      <c r="B880" t="s">
        <v>306</v>
      </c>
      <c r="C880" t="s">
        <v>306</v>
      </c>
      <c r="D880" t="s">
        <v>307</v>
      </c>
      <c r="E880" s="2">
        <v>43336.107465277775</v>
      </c>
      <c r="F880" t="s">
        <v>586</v>
      </c>
      <c r="G880" t="s">
        <v>318</v>
      </c>
      <c r="H880" t="s">
        <v>432</v>
      </c>
      <c r="I880" t="s">
        <v>490</v>
      </c>
      <c r="J880" t="s">
        <v>491</v>
      </c>
    </row>
    <row r="881" spans="1:10" hidden="1" x14ac:dyDescent="0.25">
      <c r="A881" t="s">
        <v>65</v>
      </c>
      <c r="B881" t="s">
        <v>6</v>
      </c>
      <c r="C881" t="s">
        <v>7</v>
      </c>
      <c r="D881" t="s">
        <v>10</v>
      </c>
      <c r="E881" s="2">
        <v>43336.107604166667</v>
      </c>
      <c r="F881" t="s">
        <v>299</v>
      </c>
      <c r="G881" t="s">
        <v>318</v>
      </c>
      <c r="H881" t="s">
        <v>442</v>
      </c>
      <c r="I881" t="s">
        <v>492</v>
      </c>
      <c r="J881" t="s">
        <v>546</v>
      </c>
    </row>
    <row r="882" spans="1:10" hidden="1" x14ac:dyDescent="0.25">
      <c r="A882" t="s">
        <v>132</v>
      </c>
      <c r="B882" t="s">
        <v>6</v>
      </c>
      <c r="C882" t="s">
        <v>7</v>
      </c>
      <c r="D882" t="s">
        <v>10</v>
      </c>
      <c r="E882" s="2">
        <v>43336.107662037037</v>
      </c>
      <c r="F882" t="s">
        <v>303</v>
      </c>
      <c r="G882" t="s">
        <v>427</v>
      </c>
      <c r="H882" t="s">
        <v>457</v>
      </c>
      <c r="I882" t="s">
        <v>498</v>
      </c>
      <c r="J882" t="s">
        <v>498</v>
      </c>
    </row>
    <row r="883" spans="1:10" hidden="1" x14ac:dyDescent="0.25">
      <c r="A883" t="s">
        <v>61</v>
      </c>
      <c r="B883" t="s">
        <v>6</v>
      </c>
      <c r="C883" t="s">
        <v>7</v>
      </c>
      <c r="D883" t="s">
        <v>10</v>
      </c>
      <c r="E883" s="2">
        <v>43336.10769675926</v>
      </c>
      <c r="F883" t="s">
        <v>300</v>
      </c>
      <c r="G883" t="s">
        <v>461</v>
      </c>
      <c r="H883" t="s">
        <v>462</v>
      </c>
      <c r="I883" t="s">
        <v>533</v>
      </c>
      <c r="J883" t="s">
        <v>543</v>
      </c>
    </row>
    <row r="884" spans="1:10" hidden="1" x14ac:dyDescent="0.25">
      <c r="A884" t="s">
        <v>182</v>
      </c>
      <c r="B884" t="s">
        <v>6</v>
      </c>
      <c r="C884" t="s">
        <v>7</v>
      </c>
      <c r="D884" t="s">
        <v>10</v>
      </c>
      <c r="E884" s="2">
        <v>43336.107731481483</v>
      </c>
      <c r="F884" t="s">
        <v>590</v>
      </c>
      <c r="G884" t="s">
        <v>428</v>
      </c>
      <c r="H884" t="s">
        <v>456</v>
      </c>
      <c r="I884" t="s">
        <v>494</v>
      </c>
      <c r="J884" t="s">
        <v>492</v>
      </c>
    </row>
    <row r="885" spans="1:10" hidden="1" x14ac:dyDescent="0.25">
      <c r="A885" t="s">
        <v>328</v>
      </c>
      <c r="B885" t="s">
        <v>6</v>
      </c>
      <c r="C885" t="s">
        <v>7</v>
      </c>
      <c r="D885" t="s">
        <v>13</v>
      </c>
      <c r="E885" s="2">
        <v>43336.107754629629</v>
      </c>
      <c r="F885" t="s">
        <v>591</v>
      </c>
      <c r="G885" t="s">
        <v>318</v>
      </c>
      <c r="H885" t="s">
        <v>436</v>
      </c>
      <c r="I885" t="s">
        <v>554</v>
      </c>
      <c r="J885" t="s">
        <v>497</v>
      </c>
    </row>
    <row r="886" spans="1:10" hidden="1" x14ac:dyDescent="0.25">
      <c r="A886" t="s">
        <v>227</v>
      </c>
      <c r="B886" t="s">
        <v>6</v>
      </c>
      <c r="C886" t="s">
        <v>7</v>
      </c>
      <c r="D886" t="s">
        <v>10</v>
      </c>
      <c r="E886" s="2">
        <v>43336.107800925929</v>
      </c>
      <c r="F886" t="s">
        <v>298</v>
      </c>
      <c r="G886" t="s">
        <v>318</v>
      </c>
      <c r="H886" t="s">
        <v>441</v>
      </c>
      <c r="I886" t="s">
        <v>492</v>
      </c>
      <c r="J886" t="s">
        <v>493</v>
      </c>
    </row>
    <row r="887" spans="1:10" hidden="1" x14ac:dyDescent="0.25">
      <c r="A887" t="s">
        <v>361</v>
      </c>
      <c r="B887" t="s">
        <v>6</v>
      </c>
      <c r="C887" t="s">
        <v>7</v>
      </c>
      <c r="D887" t="s">
        <v>10</v>
      </c>
      <c r="E887" s="2">
        <v>43336.107835648145</v>
      </c>
      <c r="F887" t="s">
        <v>587</v>
      </c>
      <c r="G887" t="s">
        <v>457</v>
      </c>
      <c r="H887" t="s">
        <v>460</v>
      </c>
      <c r="I887" t="s">
        <v>490</v>
      </c>
      <c r="J887" t="s">
        <v>491</v>
      </c>
    </row>
    <row r="888" spans="1:10" hidden="1" x14ac:dyDescent="0.25">
      <c r="A888" t="s">
        <v>144</v>
      </c>
      <c r="B888" t="s">
        <v>6</v>
      </c>
      <c r="C888" t="s">
        <v>7</v>
      </c>
      <c r="D888" t="s">
        <v>27</v>
      </c>
      <c r="E888" s="2">
        <v>43336.107939814814</v>
      </c>
      <c r="F888" t="s">
        <v>585</v>
      </c>
      <c r="G888" t="s">
        <v>318</v>
      </c>
      <c r="H888" t="s">
        <v>441</v>
      </c>
      <c r="I888" t="s">
        <v>494</v>
      </c>
      <c r="J888" t="s">
        <v>495</v>
      </c>
    </row>
    <row r="889" spans="1:10" hidden="1" x14ac:dyDescent="0.25">
      <c r="A889" t="s">
        <v>64</v>
      </c>
      <c r="B889" t="s">
        <v>6</v>
      </c>
      <c r="C889" t="s">
        <v>7</v>
      </c>
      <c r="D889" t="s">
        <v>10</v>
      </c>
      <c r="E889" s="2">
        <v>43336.108252314814</v>
      </c>
      <c r="F889" t="s">
        <v>299</v>
      </c>
      <c r="G889" t="s">
        <v>318</v>
      </c>
      <c r="H889" t="s">
        <v>443</v>
      </c>
      <c r="I889" t="s">
        <v>492</v>
      </c>
      <c r="J889" t="s">
        <v>557</v>
      </c>
    </row>
    <row r="890" spans="1:10" hidden="1" x14ac:dyDescent="0.25">
      <c r="A890" t="s">
        <v>131</v>
      </c>
      <c r="B890" t="s">
        <v>6</v>
      </c>
      <c r="C890" t="s">
        <v>7</v>
      </c>
      <c r="D890" t="s">
        <v>10</v>
      </c>
      <c r="E890" s="2">
        <v>43336.108287037037</v>
      </c>
      <c r="F890" t="s">
        <v>303</v>
      </c>
      <c r="G890" t="s">
        <v>427</v>
      </c>
      <c r="H890" t="s">
        <v>458</v>
      </c>
      <c r="I890" t="s">
        <v>498</v>
      </c>
      <c r="J890" t="s">
        <v>498</v>
      </c>
    </row>
    <row r="891" spans="1:10" hidden="1" x14ac:dyDescent="0.25">
      <c r="A891" t="s">
        <v>53</v>
      </c>
      <c r="B891" t="s">
        <v>6</v>
      </c>
      <c r="C891" t="s">
        <v>7</v>
      </c>
      <c r="D891" t="s">
        <v>10</v>
      </c>
      <c r="E891" s="2">
        <v>43336.108344907407</v>
      </c>
      <c r="F891" t="s">
        <v>300</v>
      </c>
      <c r="G891" t="s">
        <v>461</v>
      </c>
      <c r="H891" t="s">
        <v>453</v>
      </c>
      <c r="I891" t="s">
        <v>533</v>
      </c>
      <c r="J891" t="s">
        <v>543</v>
      </c>
    </row>
    <row r="892" spans="1:10" hidden="1" x14ac:dyDescent="0.25">
      <c r="A892" t="s">
        <v>164</v>
      </c>
      <c r="B892" t="s">
        <v>6</v>
      </c>
      <c r="C892" t="s">
        <v>7</v>
      </c>
      <c r="D892" t="s">
        <v>10</v>
      </c>
      <c r="E892" s="2">
        <v>43336.108414351853</v>
      </c>
      <c r="F892" t="s">
        <v>298</v>
      </c>
      <c r="G892" t="s">
        <v>318</v>
      </c>
      <c r="H892" t="s">
        <v>442</v>
      </c>
      <c r="I892" t="s">
        <v>492</v>
      </c>
      <c r="J892" t="s">
        <v>493</v>
      </c>
    </row>
    <row r="893" spans="1:10" hidden="1" x14ac:dyDescent="0.25">
      <c r="A893" t="s">
        <v>17</v>
      </c>
      <c r="B893" t="s">
        <v>6</v>
      </c>
      <c r="C893" t="s">
        <v>7</v>
      </c>
      <c r="D893" t="s">
        <v>27</v>
      </c>
      <c r="E893" s="2">
        <v>43336.108472222222</v>
      </c>
      <c r="F893" t="s">
        <v>590</v>
      </c>
      <c r="G893" t="s">
        <v>428</v>
      </c>
      <c r="H893" t="s">
        <v>426</v>
      </c>
      <c r="I893" t="s">
        <v>494</v>
      </c>
      <c r="J893" t="s">
        <v>492</v>
      </c>
    </row>
    <row r="894" spans="1:10" hidden="1" x14ac:dyDescent="0.25">
      <c r="A894" t="s">
        <v>362</v>
      </c>
      <c r="B894" t="s">
        <v>6</v>
      </c>
      <c r="C894" t="s">
        <v>7</v>
      </c>
      <c r="D894" t="s">
        <v>10</v>
      </c>
      <c r="E894" s="2">
        <v>43336.108472222222</v>
      </c>
      <c r="F894" t="s">
        <v>587</v>
      </c>
      <c r="G894" t="s">
        <v>457</v>
      </c>
      <c r="H894" t="s">
        <v>461</v>
      </c>
      <c r="I894" t="s">
        <v>490</v>
      </c>
      <c r="J894" t="s">
        <v>491</v>
      </c>
    </row>
    <row r="895" spans="1:10" hidden="1" x14ac:dyDescent="0.25">
      <c r="A895" t="s">
        <v>401</v>
      </c>
      <c r="B895" t="s">
        <v>6</v>
      </c>
      <c r="C895" t="s">
        <v>7</v>
      </c>
      <c r="D895" t="s">
        <v>13</v>
      </c>
      <c r="E895" s="2">
        <v>43336.108530092592</v>
      </c>
      <c r="F895" t="s">
        <v>591</v>
      </c>
      <c r="G895" t="s">
        <v>318</v>
      </c>
      <c r="H895" t="s">
        <v>437</v>
      </c>
      <c r="I895" t="s">
        <v>554</v>
      </c>
      <c r="J895" t="s">
        <v>497</v>
      </c>
    </row>
    <row r="896" spans="1:10" hidden="1" x14ac:dyDescent="0.25">
      <c r="A896" t="s">
        <v>38</v>
      </c>
      <c r="B896" t="s">
        <v>6</v>
      </c>
      <c r="C896" t="s">
        <v>7</v>
      </c>
      <c r="D896" t="s">
        <v>10</v>
      </c>
      <c r="E896" s="2">
        <v>43336.108587962961</v>
      </c>
      <c r="F896" t="s">
        <v>585</v>
      </c>
      <c r="G896" t="s">
        <v>318</v>
      </c>
      <c r="H896" t="s">
        <v>442</v>
      </c>
      <c r="I896" t="s">
        <v>494</v>
      </c>
      <c r="J896" t="s">
        <v>495</v>
      </c>
    </row>
    <row r="897" spans="1:10" hidden="1" x14ac:dyDescent="0.25">
      <c r="A897" t="s">
        <v>203</v>
      </c>
      <c r="B897" t="s">
        <v>6</v>
      </c>
      <c r="C897" t="s">
        <v>7</v>
      </c>
      <c r="D897" t="s">
        <v>10</v>
      </c>
      <c r="E897" s="2">
        <v>43336.108900462961</v>
      </c>
      <c r="F897" t="s">
        <v>299</v>
      </c>
      <c r="G897" t="s">
        <v>318</v>
      </c>
      <c r="H897" t="s">
        <v>444</v>
      </c>
      <c r="I897" t="s">
        <v>560</v>
      </c>
      <c r="J897" t="s">
        <v>561</v>
      </c>
    </row>
    <row r="898" spans="1:10" hidden="1" x14ac:dyDescent="0.25">
      <c r="A898" t="s">
        <v>156</v>
      </c>
      <c r="B898" t="s">
        <v>6</v>
      </c>
      <c r="C898" t="s">
        <v>7</v>
      </c>
      <c r="D898" t="s">
        <v>10</v>
      </c>
      <c r="E898" s="2">
        <v>43336.108969907407</v>
      </c>
      <c r="F898" t="s">
        <v>300</v>
      </c>
      <c r="G898" t="s">
        <v>461</v>
      </c>
      <c r="H898" t="s">
        <v>454</v>
      </c>
      <c r="I898" t="s">
        <v>533</v>
      </c>
      <c r="J898" t="s">
        <v>543</v>
      </c>
    </row>
    <row r="899" spans="1:10" hidden="1" x14ac:dyDescent="0.25">
      <c r="A899" t="s">
        <v>130</v>
      </c>
      <c r="B899" t="s">
        <v>6</v>
      </c>
      <c r="C899" t="s">
        <v>7</v>
      </c>
      <c r="D899" t="s">
        <v>13</v>
      </c>
      <c r="E899" s="2">
        <v>43336.109027777777</v>
      </c>
      <c r="F899" t="s">
        <v>303</v>
      </c>
      <c r="G899" t="s">
        <v>427</v>
      </c>
      <c r="H899" t="s">
        <v>459</v>
      </c>
      <c r="I899" t="s">
        <v>494</v>
      </c>
      <c r="J899" t="s">
        <v>544</v>
      </c>
    </row>
    <row r="900" spans="1:10" hidden="1" x14ac:dyDescent="0.25">
      <c r="A900" t="s">
        <v>168</v>
      </c>
      <c r="B900" t="s">
        <v>6</v>
      </c>
      <c r="C900" t="s">
        <v>7</v>
      </c>
      <c r="D900" t="s">
        <v>10</v>
      </c>
      <c r="E900" s="2">
        <v>43336.109027777777</v>
      </c>
      <c r="F900" t="s">
        <v>298</v>
      </c>
      <c r="G900" t="s">
        <v>318</v>
      </c>
      <c r="H900" t="s">
        <v>443</v>
      </c>
      <c r="I900" t="s">
        <v>492</v>
      </c>
      <c r="J900" t="s">
        <v>500</v>
      </c>
    </row>
    <row r="901" spans="1:10" hidden="1" x14ac:dyDescent="0.25">
      <c r="A901" t="s">
        <v>14</v>
      </c>
      <c r="B901" t="s">
        <v>6</v>
      </c>
      <c r="C901" t="s">
        <v>7</v>
      </c>
      <c r="D901" t="s">
        <v>476</v>
      </c>
      <c r="E901" s="2">
        <v>43336.109212962961</v>
      </c>
      <c r="F901" t="s">
        <v>590</v>
      </c>
      <c r="G901" t="s">
        <v>428</v>
      </c>
      <c r="H901" t="s">
        <v>427</v>
      </c>
      <c r="I901" t="s">
        <v>511</v>
      </c>
      <c r="J901" t="s">
        <v>540</v>
      </c>
    </row>
    <row r="902" spans="1:10" hidden="1" x14ac:dyDescent="0.25">
      <c r="A902" t="s">
        <v>341</v>
      </c>
      <c r="B902" t="s">
        <v>6</v>
      </c>
      <c r="C902" t="s">
        <v>7</v>
      </c>
      <c r="D902" t="s">
        <v>10</v>
      </c>
      <c r="E902" s="2">
        <v>43336.109212962961</v>
      </c>
      <c r="F902" t="s">
        <v>587</v>
      </c>
      <c r="G902" t="s">
        <v>457</v>
      </c>
      <c r="H902" t="s">
        <v>462</v>
      </c>
      <c r="I902" t="s">
        <v>490</v>
      </c>
      <c r="J902" t="s">
        <v>491</v>
      </c>
    </row>
    <row r="903" spans="1:10" hidden="1" x14ac:dyDescent="0.25">
      <c r="A903" t="s">
        <v>37</v>
      </c>
      <c r="B903" t="s">
        <v>6</v>
      </c>
      <c r="C903" t="s">
        <v>7</v>
      </c>
      <c r="D903" t="s">
        <v>10</v>
      </c>
      <c r="E903" s="2">
        <v>43336.109247685185</v>
      </c>
      <c r="F903" t="s">
        <v>585</v>
      </c>
      <c r="G903" t="s">
        <v>318</v>
      </c>
      <c r="H903" t="s">
        <v>443</v>
      </c>
      <c r="I903" t="s">
        <v>494</v>
      </c>
      <c r="J903" t="s">
        <v>495</v>
      </c>
    </row>
    <row r="904" spans="1:10" hidden="1" x14ac:dyDescent="0.25">
      <c r="A904" t="s">
        <v>380</v>
      </c>
      <c r="B904" t="s">
        <v>6</v>
      </c>
      <c r="C904" t="s">
        <v>7</v>
      </c>
      <c r="D904" t="s">
        <v>13</v>
      </c>
      <c r="E904" s="2">
        <v>43336.109375</v>
      </c>
      <c r="F904" t="s">
        <v>591</v>
      </c>
      <c r="G904" t="s">
        <v>318</v>
      </c>
      <c r="H904" t="s">
        <v>438</v>
      </c>
      <c r="I904" t="s">
        <v>554</v>
      </c>
      <c r="J904" t="s">
        <v>497</v>
      </c>
    </row>
    <row r="905" spans="1:10" hidden="1" x14ac:dyDescent="0.25">
      <c r="A905" t="s">
        <v>121</v>
      </c>
      <c r="B905" t="s">
        <v>6</v>
      </c>
      <c r="C905" t="s">
        <v>7</v>
      </c>
      <c r="D905" t="s">
        <v>10</v>
      </c>
      <c r="E905" s="2">
        <v>43336.109537037039</v>
      </c>
      <c r="F905" t="s">
        <v>299</v>
      </c>
      <c r="G905" t="s">
        <v>318</v>
      </c>
      <c r="H905" t="s">
        <v>445</v>
      </c>
      <c r="I905" t="s">
        <v>558</v>
      </c>
      <c r="J905" t="s">
        <v>559</v>
      </c>
    </row>
    <row r="906" spans="1:10" hidden="1" x14ac:dyDescent="0.25">
      <c r="A906" t="s">
        <v>163</v>
      </c>
      <c r="B906" t="s">
        <v>6</v>
      </c>
      <c r="C906" t="s">
        <v>7</v>
      </c>
      <c r="D906" t="s">
        <v>10</v>
      </c>
      <c r="E906" s="2">
        <v>43336.109629629631</v>
      </c>
      <c r="F906" t="s">
        <v>298</v>
      </c>
      <c r="G906" t="s">
        <v>318</v>
      </c>
      <c r="H906" t="s">
        <v>444</v>
      </c>
      <c r="I906" t="s">
        <v>492</v>
      </c>
      <c r="J906" t="s">
        <v>493</v>
      </c>
    </row>
    <row r="907" spans="1:10" hidden="1" x14ac:dyDescent="0.25">
      <c r="A907" t="s">
        <v>184</v>
      </c>
      <c r="B907" t="s">
        <v>6</v>
      </c>
      <c r="C907" t="s">
        <v>7</v>
      </c>
      <c r="D907" t="s">
        <v>476</v>
      </c>
      <c r="E907" s="2">
        <v>43336.109652777777</v>
      </c>
      <c r="F907" t="s">
        <v>303</v>
      </c>
      <c r="G907" t="s">
        <v>427</v>
      </c>
      <c r="H907" t="s">
        <v>460</v>
      </c>
      <c r="I907" t="s">
        <v>494</v>
      </c>
      <c r="J907" t="s">
        <v>544</v>
      </c>
    </row>
    <row r="908" spans="1:10" hidden="1" x14ac:dyDescent="0.25">
      <c r="A908" t="s">
        <v>70</v>
      </c>
      <c r="B908" t="s">
        <v>6</v>
      </c>
      <c r="C908" t="s">
        <v>7</v>
      </c>
      <c r="D908" t="s">
        <v>27</v>
      </c>
      <c r="E908" s="2">
        <v>43336.109733796293</v>
      </c>
      <c r="F908" t="s">
        <v>300</v>
      </c>
      <c r="G908" t="s">
        <v>461</v>
      </c>
      <c r="H908" t="s">
        <v>455</v>
      </c>
      <c r="I908" t="s">
        <v>533</v>
      </c>
      <c r="J908" t="s">
        <v>543</v>
      </c>
    </row>
    <row r="909" spans="1:10" hidden="1" x14ac:dyDescent="0.25">
      <c r="A909" t="s">
        <v>342</v>
      </c>
      <c r="B909" t="s">
        <v>6</v>
      </c>
      <c r="C909" t="s">
        <v>7</v>
      </c>
      <c r="D909" t="s">
        <v>10</v>
      </c>
      <c r="E909" s="2">
        <v>43336.109837962962</v>
      </c>
      <c r="F909" t="s">
        <v>587</v>
      </c>
      <c r="G909" t="s">
        <v>457</v>
      </c>
      <c r="H909" t="s">
        <v>453</v>
      </c>
      <c r="I909" t="s">
        <v>490</v>
      </c>
      <c r="J909" t="s">
        <v>491</v>
      </c>
    </row>
    <row r="910" spans="1:10" hidden="1" x14ac:dyDescent="0.25">
      <c r="A910" t="s">
        <v>216</v>
      </c>
      <c r="B910" t="s">
        <v>6</v>
      </c>
      <c r="C910" t="s">
        <v>7</v>
      </c>
      <c r="D910" t="s">
        <v>10</v>
      </c>
      <c r="E910" s="2">
        <v>43336.109953703701</v>
      </c>
      <c r="F910" t="s">
        <v>585</v>
      </c>
      <c r="G910" t="s">
        <v>318</v>
      </c>
      <c r="H910" t="s">
        <v>444</v>
      </c>
      <c r="I910" t="s">
        <v>494</v>
      </c>
      <c r="J910" t="s">
        <v>495</v>
      </c>
    </row>
    <row r="911" spans="1:10" hidden="1" x14ac:dyDescent="0.25">
      <c r="A911" t="s">
        <v>233</v>
      </c>
      <c r="B911" t="s">
        <v>6</v>
      </c>
      <c r="C911" t="s">
        <v>7</v>
      </c>
      <c r="D911" t="s">
        <v>476</v>
      </c>
      <c r="E911" s="2">
        <v>43336.109988425924</v>
      </c>
      <c r="F911" t="s">
        <v>590</v>
      </c>
      <c r="G911" t="s">
        <v>428</v>
      </c>
      <c r="H911" t="s">
        <v>428</v>
      </c>
      <c r="I911" t="s">
        <v>511</v>
      </c>
      <c r="J911" t="s">
        <v>537</v>
      </c>
    </row>
    <row r="912" spans="1:10" hidden="1" x14ac:dyDescent="0.25">
      <c r="A912" t="s">
        <v>329</v>
      </c>
      <c r="B912" t="s">
        <v>6</v>
      </c>
      <c r="C912" t="s">
        <v>7</v>
      </c>
      <c r="D912" t="s">
        <v>13</v>
      </c>
      <c r="E912" s="2">
        <v>43336.110162037039</v>
      </c>
      <c r="F912" t="s">
        <v>591</v>
      </c>
      <c r="G912" t="s">
        <v>318</v>
      </c>
      <c r="H912" t="s">
        <v>439</v>
      </c>
      <c r="I912" t="s">
        <v>554</v>
      </c>
      <c r="J912" t="s">
        <v>497</v>
      </c>
    </row>
    <row r="913" spans="1:10" hidden="1" x14ac:dyDescent="0.25">
      <c r="A913" t="s">
        <v>66</v>
      </c>
      <c r="B913" t="s">
        <v>6</v>
      </c>
      <c r="C913" t="s">
        <v>7</v>
      </c>
      <c r="D913" t="s">
        <v>10</v>
      </c>
      <c r="E913" s="2">
        <v>43336.110185185185</v>
      </c>
      <c r="F913" t="s">
        <v>299</v>
      </c>
      <c r="G913" t="s">
        <v>318</v>
      </c>
      <c r="H913" t="s">
        <v>446</v>
      </c>
      <c r="I913" t="s">
        <v>558</v>
      </c>
      <c r="J913" t="s">
        <v>559</v>
      </c>
    </row>
    <row r="914" spans="1:10" hidden="1" x14ac:dyDescent="0.25">
      <c r="A914" t="s">
        <v>218</v>
      </c>
      <c r="B914" t="s">
        <v>6</v>
      </c>
      <c r="C914" t="s">
        <v>7</v>
      </c>
      <c r="D914" t="s">
        <v>10</v>
      </c>
      <c r="E914" s="2">
        <v>43336.110231481478</v>
      </c>
      <c r="F914" t="s">
        <v>298</v>
      </c>
      <c r="G914" t="s">
        <v>318</v>
      </c>
      <c r="H914" t="s">
        <v>445</v>
      </c>
      <c r="I914" t="s">
        <v>492</v>
      </c>
      <c r="J914" t="s">
        <v>493</v>
      </c>
    </row>
    <row r="915" spans="1:10" hidden="1" x14ac:dyDescent="0.25">
      <c r="A915" t="s">
        <v>315</v>
      </c>
      <c r="B915" t="s">
        <v>306</v>
      </c>
      <c r="C915" t="s">
        <v>306</v>
      </c>
      <c r="D915" t="s">
        <v>307</v>
      </c>
      <c r="E915" s="2">
        <v>43336.110254629632</v>
      </c>
      <c r="F915" t="s">
        <v>586</v>
      </c>
      <c r="G915" t="s">
        <v>318</v>
      </c>
      <c r="H915" t="s">
        <v>433</v>
      </c>
      <c r="I915" t="s">
        <v>490</v>
      </c>
      <c r="J915" t="s">
        <v>491</v>
      </c>
    </row>
    <row r="916" spans="1:10" hidden="1" x14ac:dyDescent="0.25">
      <c r="A916" t="s">
        <v>52</v>
      </c>
      <c r="B916" t="s">
        <v>6</v>
      </c>
      <c r="C916" t="s">
        <v>7</v>
      </c>
      <c r="D916" t="s">
        <v>10</v>
      </c>
      <c r="E916" s="2">
        <v>43336.110358796293</v>
      </c>
      <c r="F916" t="s">
        <v>300</v>
      </c>
      <c r="G916" t="s">
        <v>461</v>
      </c>
      <c r="H916" t="s">
        <v>456</v>
      </c>
      <c r="I916" t="s">
        <v>533</v>
      </c>
      <c r="J916" t="s">
        <v>543</v>
      </c>
    </row>
    <row r="917" spans="1:10" hidden="1" x14ac:dyDescent="0.25">
      <c r="A917" t="s">
        <v>243</v>
      </c>
      <c r="B917" t="s">
        <v>6</v>
      </c>
      <c r="C917" t="s">
        <v>7</v>
      </c>
      <c r="D917" t="s">
        <v>13</v>
      </c>
      <c r="E917" s="2">
        <v>43336.110381944447</v>
      </c>
      <c r="F917" t="s">
        <v>303</v>
      </c>
      <c r="G917" t="s">
        <v>427</v>
      </c>
      <c r="H917" t="s">
        <v>461</v>
      </c>
      <c r="I917" t="s">
        <v>494</v>
      </c>
      <c r="J917" t="s">
        <v>544</v>
      </c>
    </row>
    <row r="918" spans="1:10" hidden="1" x14ac:dyDescent="0.25">
      <c r="A918" t="s">
        <v>36</v>
      </c>
      <c r="B918" t="s">
        <v>6</v>
      </c>
      <c r="C918" t="s">
        <v>7</v>
      </c>
      <c r="D918" t="s">
        <v>10</v>
      </c>
      <c r="E918" s="2">
        <v>43336.110567129632</v>
      </c>
      <c r="F918" t="s">
        <v>585</v>
      </c>
      <c r="G918" t="s">
        <v>318</v>
      </c>
      <c r="H918" t="s">
        <v>445</v>
      </c>
      <c r="I918" t="s">
        <v>494</v>
      </c>
      <c r="J918" t="s">
        <v>495</v>
      </c>
    </row>
    <row r="919" spans="1:10" hidden="1" x14ac:dyDescent="0.25">
      <c r="A919" t="s">
        <v>317</v>
      </c>
      <c r="B919" t="s">
        <v>6</v>
      </c>
      <c r="C919" t="s">
        <v>7</v>
      </c>
      <c r="D919" t="s">
        <v>27</v>
      </c>
      <c r="E919" s="2">
        <v>43336.110590277778</v>
      </c>
      <c r="F919" t="s">
        <v>587</v>
      </c>
      <c r="G919" t="s">
        <v>457</v>
      </c>
      <c r="H919" t="s">
        <v>454</v>
      </c>
      <c r="I919" t="s">
        <v>490</v>
      </c>
      <c r="J919" t="s">
        <v>491</v>
      </c>
    </row>
    <row r="920" spans="1:10" hidden="1" x14ac:dyDescent="0.25">
      <c r="A920" t="s">
        <v>12</v>
      </c>
      <c r="B920" t="s">
        <v>6</v>
      </c>
      <c r="C920" t="s">
        <v>7</v>
      </c>
      <c r="D920" t="s">
        <v>10</v>
      </c>
      <c r="E920" s="2">
        <v>43336.110636574071</v>
      </c>
      <c r="F920" t="s">
        <v>590</v>
      </c>
      <c r="G920" t="s">
        <v>428</v>
      </c>
      <c r="H920" t="s">
        <v>429</v>
      </c>
      <c r="I920" t="s">
        <v>494</v>
      </c>
      <c r="J920" t="s">
        <v>492</v>
      </c>
    </row>
    <row r="921" spans="1:10" hidden="1" x14ac:dyDescent="0.25">
      <c r="A921" t="s">
        <v>60</v>
      </c>
      <c r="B921" t="s">
        <v>6</v>
      </c>
      <c r="C921" t="s">
        <v>7</v>
      </c>
      <c r="D921" t="s">
        <v>10</v>
      </c>
      <c r="E921" s="2">
        <v>43336.110821759263</v>
      </c>
      <c r="F921" t="s">
        <v>299</v>
      </c>
      <c r="G921" t="s">
        <v>318</v>
      </c>
      <c r="H921" t="s">
        <v>447</v>
      </c>
      <c r="I921" t="s">
        <v>558</v>
      </c>
      <c r="J921" t="s">
        <v>559</v>
      </c>
    </row>
    <row r="922" spans="1:10" hidden="1" x14ac:dyDescent="0.25">
      <c r="A922" t="s">
        <v>383</v>
      </c>
      <c r="B922" t="s">
        <v>6</v>
      </c>
      <c r="C922" t="s">
        <v>7</v>
      </c>
      <c r="D922" t="s">
        <v>13</v>
      </c>
      <c r="E922" s="2">
        <v>43336.110925925925</v>
      </c>
      <c r="F922" t="s">
        <v>591</v>
      </c>
      <c r="G922" t="s">
        <v>318</v>
      </c>
      <c r="H922" t="s">
        <v>440</v>
      </c>
      <c r="I922" t="s">
        <v>554</v>
      </c>
      <c r="J922" t="s">
        <v>497</v>
      </c>
    </row>
    <row r="923" spans="1:10" hidden="1" x14ac:dyDescent="0.25">
      <c r="A923" t="s">
        <v>162</v>
      </c>
      <c r="B923" t="s">
        <v>6</v>
      </c>
      <c r="C923" t="s">
        <v>7</v>
      </c>
      <c r="D923" t="s">
        <v>27</v>
      </c>
      <c r="E923" s="2">
        <v>43336.110960648148</v>
      </c>
      <c r="F923" t="s">
        <v>298</v>
      </c>
      <c r="G923" t="s">
        <v>318</v>
      </c>
      <c r="H923" t="s">
        <v>446</v>
      </c>
      <c r="I923" t="s">
        <v>492</v>
      </c>
      <c r="J923" t="s">
        <v>493</v>
      </c>
    </row>
    <row r="924" spans="1:10" hidden="1" x14ac:dyDescent="0.25">
      <c r="A924" t="s">
        <v>51</v>
      </c>
      <c r="B924" t="s">
        <v>6</v>
      </c>
      <c r="C924" t="s">
        <v>7</v>
      </c>
      <c r="D924" t="s">
        <v>10</v>
      </c>
      <c r="E924" s="2">
        <v>43336.110995370371</v>
      </c>
      <c r="F924" t="s">
        <v>300</v>
      </c>
      <c r="G924" t="s">
        <v>461</v>
      </c>
      <c r="H924" t="s">
        <v>426</v>
      </c>
      <c r="I924" t="s">
        <v>533</v>
      </c>
      <c r="J924" t="s">
        <v>543</v>
      </c>
    </row>
    <row r="925" spans="1:10" hidden="1" x14ac:dyDescent="0.25">
      <c r="A925" t="s">
        <v>129</v>
      </c>
      <c r="B925" t="s">
        <v>6</v>
      </c>
      <c r="C925" t="s">
        <v>7</v>
      </c>
      <c r="D925" t="s">
        <v>476</v>
      </c>
      <c r="E925" s="2">
        <v>43336.111006944448</v>
      </c>
      <c r="F925" t="s">
        <v>303</v>
      </c>
      <c r="G925" t="s">
        <v>427</v>
      </c>
      <c r="H925" t="s">
        <v>462</v>
      </c>
      <c r="I925" t="s">
        <v>494</v>
      </c>
      <c r="J925" t="s">
        <v>544</v>
      </c>
    </row>
    <row r="926" spans="1:10" hidden="1" x14ac:dyDescent="0.25">
      <c r="A926" t="s">
        <v>195</v>
      </c>
      <c r="B926" t="s">
        <v>6</v>
      </c>
      <c r="C926" t="s">
        <v>7</v>
      </c>
      <c r="D926" t="s">
        <v>10</v>
      </c>
      <c r="E926" s="2">
        <v>43336.111203703702</v>
      </c>
      <c r="F926" t="s">
        <v>585</v>
      </c>
      <c r="G926" t="s">
        <v>318</v>
      </c>
      <c r="H926" t="s">
        <v>446</v>
      </c>
      <c r="I926" t="s">
        <v>494</v>
      </c>
      <c r="J926" t="s">
        <v>495</v>
      </c>
    </row>
    <row r="927" spans="1:10" hidden="1" x14ac:dyDescent="0.25">
      <c r="A927" t="s">
        <v>370</v>
      </c>
      <c r="B927" t="s">
        <v>6</v>
      </c>
      <c r="C927" t="s">
        <v>7</v>
      </c>
      <c r="D927" t="s">
        <v>10</v>
      </c>
      <c r="E927" s="2">
        <v>43336.111215277779</v>
      </c>
      <c r="F927" t="s">
        <v>587</v>
      </c>
      <c r="G927" t="s">
        <v>457</v>
      </c>
      <c r="H927" t="s">
        <v>455</v>
      </c>
      <c r="I927" t="s">
        <v>490</v>
      </c>
      <c r="J927" t="s">
        <v>491</v>
      </c>
    </row>
    <row r="928" spans="1:10" hidden="1" x14ac:dyDescent="0.25">
      <c r="A928" t="s">
        <v>11</v>
      </c>
      <c r="B928" t="s">
        <v>6</v>
      </c>
      <c r="C928" t="s">
        <v>7</v>
      </c>
      <c r="D928" t="s">
        <v>10</v>
      </c>
      <c r="E928" s="2">
        <v>43336.111261574071</v>
      </c>
      <c r="F928" t="s">
        <v>590</v>
      </c>
      <c r="G928" t="s">
        <v>428</v>
      </c>
      <c r="H928" t="s">
        <v>430</v>
      </c>
      <c r="I928" t="s">
        <v>494</v>
      </c>
      <c r="J928" t="s">
        <v>533</v>
      </c>
    </row>
    <row r="929" spans="1:10" hidden="1" x14ac:dyDescent="0.25">
      <c r="A929" t="s">
        <v>59</v>
      </c>
      <c r="B929" t="s">
        <v>6</v>
      </c>
      <c r="C929" t="s">
        <v>7</v>
      </c>
      <c r="D929" t="s">
        <v>10</v>
      </c>
      <c r="E929" s="2">
        <v>43336.111504629633</v>
      </c>
      <c r="F929" t="s">
        <v>299</v>
      </c>
      <c r="G929" t="s">
        <v>318</v>
      </c>
      <c r="H929" t="s">
        <v>448</v>
      </c>
      <c r="I929" t="s">
        <v>558</v>
      </c>
      <c r="J929" t="s">
        <v>559</v>
      </c>
    </row>
    <row r="930" spans="1:10" hidden="1" x14ac:dyDescent="0.25">
      <c r="A930" t="s">
        <v>321</v>
      </c>
      <c r="B930" t="s">
        <v>6</v>
      </c>
      <c r="C930" t="s">
        <v>7</v>
      </c>
      <c r="D930" t="s">
        <v>476</v>
      </c>
      <c r="E930" s="2">
        <v>43336.111574074072</v>
      </c>
      <c r="F930" t="s">
        <v>591</v>
      </c>
      <c r="G930" t="s">
        <v>318</v>
      </c>
      <c r="H930" t="s">
        <v>441</v>
      </c>
      <c r="I930" t="s">
        <v>554</v>
      </c>
      <c r="J930" t="s">
        <v>497</v>
      </c>
    </row>
    <row r="931" spans="1:10" hidden="1" x14ac:dyDescent="0.25">
      <c r="A931" t="s">
        <v>221</v>
      </c>
      <c r="B931" t="s">
        <v>6</v>
      </c>
      <c r="C931" t="s">
        <v>7</v>
      </c>
      <c r="D931" t="s">
        <v>10</v>
      </c>
      <c r="E931" s="2">
        <v>43336.111585648148</v>
      </c>
      <c r="F931" t="s">
        <v>298</v>
      </c>
      <c r="G931" t="s">
        <v>318</v>
      </c>
      <c r="H931" t="s">
        <v>447</v>
      </c>
      <c r="I931" t="s">
        <v>492</v>
      </c>
      <c r="J931" t="s">
        <v>493</v>
      </c>
    </row>
    <row r="932" spans="1:10" hidden="1" x14ac:dyDescent="0.25">
      <c r="A932" t="s">
        <v>90</v>
      </c>
      <c r="B932" t="s">
        <v>6</v>
      </c>
      <c r="C932" t="s">
        <v>7</v>
      </c>
      <c r="D932" t="s">
        <v>10</v>
      </c>
      <c r="E932" s="2">
        <v>43336.111631944441</v>
      </c>
      <c r="F932" t="s">
        <v>300</v>
      </c>
      <c r="G932" t="s">
        <v>461</v>
      </c>
      <c r="H932" t="s">
        <v>427</v>
      </c>
      <c r="I932" t="s">
        <v>533</v>
      </c>
      <c r="J932" t="s">
        <v>543</v>
      </c>
    </row>
    <row r="933" spans="1:10" hidden="1" x14ac:dyDescent="0.25">
      <c r="A933" t="s">
        <v>136</v>
      </c>
      <c r="B933" t="s">
        <v>6</v>
      </c>
      <c r="C933" t="s">
        <v>7</v>
      </c>
      <c r="D933" t="s">
        <v>13</v>
      </c>
      <c r="E933" s="2">
        <v>43336.111759259256</v>
      </c>
      <c r="F933" t="s">
        <v>303</v>
      </c>
      <c r="G933" t="s">
        <v>427</v>
      </c>
      <c r="H933" t="s">
        <v>453</v>
      </c>
      <c r="I933" t="s">
        <v>494</v>
      </c>
      <c r="J933" t="s">
        <v>544</v>
      </c>
    </row>
    <row r="934" spans="1:10" hidden="1" x14ac:dyDescent="0.25">
      <c r="A934" t="s">
        <v>35</v>
      </c>
      <c r="B934" t="s">
        <v>6</v>
      </c>
      <c r="C934" t="s">
        <v>7</v>
      </c>
      <c r="D934" t="s">
        <v>10</v>
      </c>
      <c r="E934" s="2">
        <v>43336.111828703702</v>
      </c>
      <c r="F934" t="s">
        <v>585</v>
      </c>
      <c r="G934" t="s">
        <v>318</v>
      </c>
      <c r="H934" t="s">
        <v>447</v>
      </c>
      <c r="I934" t="s">
        <v>494</v>
      </c>
      <c r="J934" t="s">
        <v>495</v>
      </c>
    </row>
    <row r="935" spans="1:10" hidden="1" x14ac:dyDescent="0.25">
      <c r="A935" t="s">
        <v>367</v>
      </c>
      <c r="B935" t="s">
        <v>6</v>
      </c>
      <c r="C935" t="s">
        <v>7</v>
      </c>
      <c r="D935" t="s">
        <v>10</v>
      </c>
      <c r="E935" s="2">
        <v>43336.111840277779</v>
      </c>
      <c r="F935" t="s">
        <v>587</v>
      </c>
      <c r="G935" t="s">
        <v>457</v>
      </c>
      <c r="H935" t="s">
        <v>456</v>
      </c>
      <c r="I935" t="s">
        <v>490</v>
      </c>
      <c r="J935" t="s">
        <v>491</v>
      </c>
    </row>
    <row r="936" spans="1:10" hidden="1" x14ac:dyDescent="0.25">
      <c r="A936" t="s">
        <v>9</v>
      </c>
      <c r="B936" t="s">
        <v>6</v>
      </c>
      <c r="C936" t="s">
        <v>7</v>
      </c>
      <c r="D936" t="s">
        <v>476</v>
      </c>
      <c r="E936" s="2">
        <v>43336.111898148149</v>
      </c>
      <c r="F936" t="s">
        <v>590</v>
      </c>
      <c r="G936" t="s">
        <v>428</v>
      </c>
      <c r="H936" t="s">
        <v>431</v>
      </c>
      <c r="I936" t="s">
        <v>494</v>
      </c>
      <c r="J936" t="s">
        <v>533</v>
      </c>
    </row>
    <row r="937" spans="1:10" hidden="1" x14ac:dyDescent="0.25">
      <c r="A937" t="s">
        <v>57</v>
      </c>
      <c r="B937" t="s">
        <v>6</v>
      </c>
      <c r="C937" t="s">
        <v>7</v>
      </c>
      <c r="D937" t="s">
        <v>10</v>
      </c>
      <c r="E937" s="2">
        <v>43336.11215277778</v>
      </c>
      <c r="F937" t="s">
        <v>299</v>
      </c>
      <c r="G937" t="s">
        <v>318</v>
      </c>
      <c r="H937" t="s">
        <v>449</v>
      </c>
      <c r="I937" t="s">
        <v>558</v>
      </c>
      <c r="J937" t="s">
        <v>559</v>
      </c>
    </row>
    <row r="938" spans="1:10" hidden="1" x14ac:dyDescent="0.25">
      <c r="A938" t="s">
        <v>114</v>
      </c>
      <c r="B938" t="s">
        <v>6</v>
      </c>
      <c r="C938" t="s">
        <v>7</v>
      </c>
      <c r="D938" t="s">
        <v>10</v>
      </c>
      <c r="E938" s="2">
        <v>43336.112199074072</v>
      </c>
      <c r="F938" t="s">
        <v>298</v>
      </c>
      <c r="G938" t="s">
        <v>318</v>
      </c>
      <c r="H938" t="s">
        <v>448</v>
      </c>
      <c r="I938" t="s">
        <v>492</v>
      </c>
      <c r="J938" t="s">
        <v>493</v>
      </c>
    </row>
    <row r="939" spans="1:10" hidden="1" x14ac:dyDescent="0.25">
      <c r="A939" t="s">
        <v>106</v>
      </c>
      <c r="B939" t="s">
        <v>6</v>
      </c>
      <c r="C939" t="s">
        <v>7</v>
      </c>
      <c r="D939" t="s">
        <v>10</v>
      </c>
      <c r="E939" s="2">
        <v>43336.112256944441</v>
      </c>
      <c r="F939" t="s">
        <v>300</v>
      </c>
      <c r="G939" t="s">
        <v>461</v>
      </c>
      <c r="H939" t="s">
        <v>428</v>
      </c>
      <c r="I939" t="s">
        <v>533</v>
      </c>
      <c r="J939" t="s">
        <v>543</v>
      </c>
    </row>
    <row r="940" spans="1:10" hidden="1" x14ac:dyDescent="0.25">
      <c r="A940" t="s">
        <v>356</v>
      </c>
      <c r="B940" t="s">
        <v>6</v>
      </c>
      <c r="C940" t="s">
        <v>7</v>
      </c>
      <c r="D940" t="s">
        <v>13</v>
      </c>
      <c r="E940" s="2">
        <v>43336.112349537034</v>
      </c>
      <c r="F940" t="s">
        <v>591</v>
      </c>
      <c r="G940" t="s">
        <v>318</v>
      </c>
      <c r="H940" t="s">
        <v>442</v>
      </c>
      <c r="I940" t="s">
        <v>554</v>
      </c>
      <c r="J940" t="s">
        <v>497</v>
      </c>
    </row>
    <row r="941" spans="1:10" hidden="1" x14ac:dyDescent="0.25">
      <c r="A941" t="s">
        <v>34</v>
      </c>
      <c r="B941" t="s">
        <v>6</v>
      </c>
      <c r="C941" t="s">
        <v>7</v>
      </c>
      <c r="D941" t="s">
        <v>10</v>
      </c>
      <c r="E941" s="2">
        <v>43336.112442129626</v>
      </c>
      <c r="F941" t="s">
        <v>585</v>
      </c>
      <c r="G941" t="s">
        <v>318</v>
      </c>
      <c r="H941" t="s">
        <v>448</v>
      </c>
      <c r="I941" t="s">
        <v>494</v>
      </c>
      <c r="J941" t="s">
        <v>495</v>
      </c>
    </row>
    <row r="942" spans="1:10" hidden="1" x14ac:dyDescent="0.25">
      <c r="A942" t="s">
        <v>368</v>
      </c>
      <c r="B942" t="s">
        <v>6</v>
      </c>
      <c r="C942" t="s">
        <v>7</v>
      </c>
      <c r="D942" t="s">
        <v>10</v>
      </c>
      <c r="E942" s="2">
        <v>43336.112453703703</v>
      </c>
      <c r="F942" t="s">
        <v>587</v>
      </c>
      <c r="G942" t="s">
        <v>457</v>
      </c>
      <c r="H942" t="s">
        <v>426</v>
      </c>
      <c r="I942" t="s">
        <v>490</v>
      </c>
      <c r="J942" t="s">
        <v>491</v>
      </c>
    </row>
    <row r="943" spans="1:10" hidden="1" x14ac:dyDescent="0.25">
      <c r="A943" t="s">
        <v>280</v>
      </c>
      <c r="B943" t="s">
        <v>6</v>
      </c>
      <c r="C943" t="s">
        <v>7</v>
      </c>
      <c r="D943" t="s">
        <v>13</v>
      </c>
      <c r="E943" s="2">
        <v>43336.112511574072</v>
      </c>
      <c r="F943" t="s">
        <v>303</v>
      </c>
      <c r="G943" t="s">
        <v>427</v>
      </c>
      <c r="H943" t="s">
        <v>454</v>
      </c>
      <c r="I943" t="s">
        <v>494</v>
      </c>
      <c r="J943" t="s">
        <v>544</v>
      </c>
    </row>
    <row r="944" spans="1:10" hidden="1" x14ac:dyDescent="0.25">
      <c r="A944" t="s">
        <v>5</v>
      </c>
      <c r="B944" t="s">
        <v>6</v>
      </c>
      <c r="C944" t="s">
        <v>7</v>
      </c>
      <c r="D944" t="s">
        <v>13</v>
      </c>
      <c r="E944" s="2">
        <v>43336.112685185188</v>
      </c>
      <c r="F944" t="s">
        <v>590</v>
      </c>
      <c r="G944" t="s">
        <v>428</v>
      </c>
      <c r="H944" t="s">
        <v>432</v>
      </c>
      <c r="I944" t="s">
        <v>513</v>
      </c>
      <c r="J944" t="s">
        <v>513</v>
      </c>
    </row>
    <row r="945" spans="1:10" hidden="1" x14ac:dyDescent="0.25">
      <c r="A945" t="s">
        <v>154</v>
      </c>
      <c r="B945" t="s">
        <v>6</v>
      </c>
      <c r="C945" t="s">
        <v>7</v>
      </c>
      <c r="D945" t="s">
        <v>10</v>
      </c>
      <c r="E945" s="2">
        <v>43336.112800925926</v>
      </c>
      <c r="F945" t="s">
        <v>299</v>
      </c>
      <c r="G945" t="s">
        <v>318</v>
      </c>
      <c r="H945" t="s">
        <v>450</v>
      </c>
      <c r="I945" t="s">
        <v>558</v>
      </c>
      <c r="J945" t="s">
        <v>559</v>
      </c>
    </row>
    <row r="946" spans="1:10" hidden="1" x14ac:dyDescent="0.25">
      <c r="A946" t="s">
        <v>158</v>
      </c>
      <c r="B946" t="s">
        <v>6</v>
      </c>
      <c r="C946" t="s">
        <v>7</v>
      </c>
      <c r="D946" t="s">
        <v>10</v>
      </c>
      <c r="E946" s="2">
        <v>43336.112800925926</v>
      </c>
      <c r="F946" t="s">
        <v>298</v>
      </c>
      <c r="G946" t="s">
        <v>318</v>
      </c>
      <c r="H946" t="s">
        <v>449</v>
      </c>
      <c r="I946" t="s">
        <v>492</v>
      </c>
      <c r="J946" t="s">
        <v>493</v>
      </c>
    </row>
    <row r="947" spans="1:10" hidden="1" x14ac:dyDescent="0.25">
      <c r="A947" t="s">
        <v>50</v>
      </c>
      <c r="B947" t="s">
        <v>6</v>
      </c>
      <c r="C947" t="s">
        <v>7</v>
      </c>
      <c r="D947" t="s">
        <v>10</v>
      </c>
      <c r="E947" s="2">
        <v>43336.112893518519</v>
      </c>
      <c r="F947" t="s">
        <v>300</v>
      </c>
      <c r="G947" t="s">
        <v>461</v>
      </c>
      <c r="H947" t="s">
        <v>429</v>
      </c>
      <c r="I947" t="s">
        <v>533</v>
      </c>
      <c r="J947" t="s">
        <v>543</v>
      </c>
    </row>
    <row r="948" spans="1:10" hidden="1" x14ac:dyDescent="0.25">
      <c r="A948" t="s">
        <v>316</v>
      </c>
      <c r="B948" t="s">
        <v>306</v>
      </c>
      <c r="C948" t="s">
        <v>306</v>
      </c>
      <c r="D948" t="s">
        <v>307</v>
      </c>
      <c r="E948" s="2">
        <v>43336.113043981481</v>
      </c>
      <c r="F948" t="s">
        <v>586</v>
      </c>
      <c r="G948" t="s">
        <v>318</v>
      </c>
      <c r="H948" t="s">
        <v>434</v>
      </c>
      <c r="I948" t="s">
        <v>490</v>
      </c>
      <c r="J948" t="s">
        <v>491</v>
      </c>
    </row>
    <row r="949" spans="1:10" hidden="1" x14ac:dyDescent="0.25">
      <c r="A949" t="s">
        <v>33</v>
      </c>
      <c r="B949" t="s">
        <v>6</v>
      </c>
      <c r="C949" t="s">
        <v>7</v>
      </c>
      <c r="D949" t="s">
        <v>10</v>
      </c>
      <c r="E949" s="2">
        <v>43336.11309027778</v>
      </c>
      <c r="F949" t="s">
        <v>585</v>
      </c>
      <c r="G949" t="s">
        <v>318</v>
      </c>
      <c r="H949" t="s">
        <v>449</v>
      </c>
      <c r="I949" t="s">
        <v>494</v>
      </c>
      <c r="J949" t="s">
        <v>495</v>
      </c>
    </row>
    <row r="950" spans="1:10" hidden="1" x14ac:dyDescent="0.25">
      <c r="A950" t="s">
        <v>371</v>
      </c>
      <c r="B950" t="s">
        <v>6</v>
      </c>
      <c r="C950" t="s">
        <v>7</v>
      </c>
      <c r="D950" t="s">
        <v>27</v>
      </c>
      <c r="E950" s="2">
        <v>43336.113217592596</v>
      </c>
      <c r="F950" t="s">
        <v>587</v>
      </c>
      <c r="G950" t="s">
        <v>457</v>
      </c>
      <c r="H950" t="s">
        <v>427</v>
      </c>
      <c r="I950" t="s">
        <v>490</v>
      </c>
      <c r="J950" t="s">
        <v>491</v>
      </c>
    </row>
    <row r="951" spans="1:10" hidden="1" x14ac:dyDescent="0.25">
      <c r="A951" t="s">
        <v>425</v>
      </c>
      <c r="B951" t="s">
        <v>6</v>
      </c>
      <c r="C951" t="s">
        <v>7</v>
      </c>
      <c r="D951" t="s">
        <v>13</v>
      </c>
      <c r="E951" s="2">
        <v>43336.113229166665</v>
      </c>
      <c r="F951" t="s">
        <v>591</v>
      </c>
      <c r="G951" t="s">
        <v>318</v>
      </c>
      <c r="H951" t="s">
        <v>443</v>
      </c>
      <c r="I951" t="s">
        <v>554</v>
      </c>
      <c r="J951" t="s">
        <v>497</v>
      </c>
    </row>
    <row r="952" spans="1:10" hidden="1" x14ac:dyDescent="0.25">
      <c r="A952" t="s">
        <v>128</v>
      </c>
      <c r="B952" t="s">
        <v>6</v>
      </c>
      <c r="C952" t="s">
        <v>7</v>
      </c>
      <c r="D952" t="s">
        <v>13</v>
      </c>
      <c r="E952" s="2">
        <v>43336.113263888888</v>
      </c>
      <c r="F952" t="s">
        <v>303</v>
      </c>
      <c r="G952" t="s">
        <v>427</v>
      </c>
      <c r="H952" t="s">
        <v>455</v>
      </c>
      <c r="I952" t="s">
        <v>494</v>
      </c>
      <c r="J952" t="s">
        <v>544</v>
      </c>
    </row>
    <row r="953" spans="1:10" hidden="1" x14ac:dyDescent="0.25">
      <c r="A953" t="s">
        <v>16</v>
      </c>
      <c r="B953" t="s">
        <v>6</v>
      </c>
      <c r="C953" t="s">
        <v>7</v>
      </c>
      <c r="D953" t="s">
        <v>10</v>
      </c>
      <c r="E953" s="2">
        <v>43336.113402777781</v>
      </c>
      <c r="F953" t="s">
        <v>298</v>
      </c>
      <c r="G953" t="s">
        <v>318</v>
      </c>
      <c r="H953" t="s">
        <v>450</v>
      </c>
      <c r="I953" t="s">
        <v>492</v>
      </c>
      <c r="J953" t="s">
        <v>493</v>
      </c>
    </row>
    <row r="954" spans="1:10" hidden="1" x14ac:dyDescent="0.25">
      <c r="A954" t="s">
        <v>56</v>
      </c>
      <c r="B954" t="s">
        <v>6</v>
      </c>
      <c r="C954" t="s">
        <v>7</v>
      </c>
      <c r="D954" t="s">
        <v>10</v>
      </c>
      <c r="E954" s="2">
        <v>43336.11347222222</v>
      </c>
      <c r="F954" t="s">
        <v>299</v>
      </c>
      <c r="G954" t="s">
        <v>318</v>
      </c>
      <c r="H954" t="s">
        <v>451</v>
      </c>
      <c r="I954" t="s">
        <v>558</v>
      </c>
      <c r="J954" t="s">
        <v>559</v>
      </c>
    </row>
    <row r="955" spans="1:10" hidden="1" x14ac:dyDescent="0.25">
      <c r="A955" t="s">
        <v>283</v>
      </c>
      <c r="B955" t="s">
        <v>6</v>
      </c>
      <c r="C955" t="s">
        <v>7</v>
      </c>
      <c r="D955" t="s">
        <v>13</v>
      </c>
      <c r="E955" s="2">
        <v>43336.113483796296</v>
      </c>
      <c r="F955" t="s">
        <v>590</v>
      </c>
      <c r="G955" t="s">
        <v>428</v>
      </c>
      <c r="H955" t="s">
        <v>433</v>
      </c>
      <c r="I955" t="s">
        <v>513</v>
      </c>
      <c r="J955" t="s">
        <v>513</v>
      </c>
    </row>
    <row r="956" spans="1:10" hidden="1" x14ac:dyDescent="0.25">
      <c r="A956" t="s">
        <v>49</v>
      </c>
      <c r="B956" t="s">
        <v>6</v>
      </c>
      <c r="C956" t="s">
        <v>7</v>
      </c>
      <c r="D956" t="s">
        <v>10</v>
      </c>
      <c r="E956" s="2">
        <v>43336.113506944443</v>
      </c>
      <c r="F956" t="s">
        <v>300</v>
      </c>
      <c r="G956" t="s">
        <v>461</v>
      </c>
      <c r="H956" t="s">
        <v>430</v>
      </c>
      <c r="I956" t="s">
        <v>533</v>
      </c>
      <c r="J956" t="s">
        <v>543</v>
      </c>
    </row>
    <row r="957" spans="1:10" hidden="1" x14ac:dyDescent="0.25">
      <c r="A957" t="s">
        <v>32</v>
      </c>
      <c r="B957" t="s">
        <v>6</v>
      </c>
      <c r="C957" t="s">
        <v>7</v>
      </c>
      <c r="D957" t="s">
        <v>10</v>
      </c>
      <c r="E957" s="2">
        <v>43336.113692129627</v>
      </c>
      <c r="F957" t="s">
        <v>585</v>
      </c>
      <c r="G957" t="s">
        <v>318</v>
      </c>
      <c r="H957" t="s">
        <v>450</v>
      </c>
      <c r="I957" t="s">
        <v>494</v>
      </c>
      <c r="J957" t="s">
        <v>495</v>
      </c>
    </row>
    <row r="958" spans="1:10" hidden="1" x14ac:dyDescent="0.25">
      <c r="A958" t="s">
        <v>113</v>
      </c>
      <c r="B958" t="s">
        <v>6</v>
      </c>
      <c r="C958" t="s">
        <v>7</v>
      </c>
      <c r="D958" t="s">
        <v>10</v>
      </c>
      <c r="E958" s="2">
        <v>43336.114016203705</v>
      </c>
      <c r="F958" t="s">
        <v>298</v>
      </c>
      <c r="G958" t="s">
        <v>318</v>
      </c>
      <c r="H958" t="s">
        <v>451</v>
      </c>
      <c r="I958" t="s">
        <v>492</v>
      </c>
      <c r="J958" t="s">
        <v>493</v>
      </c>
    </row>
    <row r="959" spans="1:10" hidden="1" x14ac:dyDescent="0.25">
      <c r="A959" t="s">
        <v>126</v>
      </c>
      <c r="B959" t="s">
        <v>6</v>
      </c>
      <c r="C959" t="s">
        <v>7</v>
      </c>
      <c r="D959" t="s">
        <v>13</v>
      </c>
      <c r="E959" s="2">
        <v>43336.114039351851</v>
      </c>
      <c r="F959" t="s">
        <v>303</v>
      </c>
      <c r="G959" t="s">
        <v>427</v>
      </c>
      <c r="H959" t="s">
        <v>456</v>
      </c>
      <c r="I959" t="s">
        <v>494</v>
      </c>
      <c r="J959" t="s">
        <v>544</v>
      </c>
    </row>
    <row r="960" spans="1:10" hidden="1" x14ac:dyDescent="0.25">
      <c r="A960" t="s">
        <v>372</v>
      </c>
      <c r="B960" t="s">
        <v>6</v>
      </c>
      <c r="C960" t="s">
        <v>7</v>
      </c>
      <c r="D960" t="s">
        <v>27</v>
      </c>
      <c r="E960" s="2">
        <v>43336.114062499997</v>
      </c>
      <c r="F960" t="s">
        <v>587</v>
      </c>
      <c r="G960" t="s">
        <v>457</v>
      </c>
      <c r="H960" t="s">
        <v>428</v>
      </c>
      <c r="I960" t="s">
        <v>490</v>
      </c>
      <c r="J960" t="s">
        <v>491</v>
      </c>
    </row>
    <row r="961" spans="1:10" hidden="1" x14ac:dyDescent="0.25">
      <c r="A961" t="s">
        <v>330</v>
      </c>
      <c r="B961" t="s">
        <v>6</v>
      </c>
      <c r="C961" t="s">
        <v>7</v>
      </c>
      <c r="D961" t="s">
        <v>13</v>
      </c>
      <c r="E961" s="2">
        <v>43336.114085648151</v>
      </c>
      <c r="F961" t="s">
        <v>591</v>
      </c>
      <c r="G961" t="s">
        <v>318</v>
      </c>
      <c r="H961" t="s">
        <v>444</v>
      </c>
      <c r="I961" t="s">
        <v>554</v>
      </c>
      <c r="J961" t="s">
        <v>497</v>
      </c>
    </row>
    <row r="962" spans="1:10" hidden="1" x14ac:dyDescent="0.25">
      <c r="A962" t="s">
        <v>78</v>
      </c>
      <c r="B962" t="s">
        <v>6</v>
      </c>
      <c r="C962" t="s">
        <v>7</v>
      </c>
      <c r="D962" t="s">
        <v>10</v>
      </c>
      <c r="E962" s="2">
        <v>43336.114259259259</v>
      </c>
      <c r="F962" t="s">
        <v>299</v>
      </c>
      <c r="G962" t="s">
        <v>318</v>
      </c>
      <c r="H962" t="s">
        <v>452</v>
      </c>
      <c r="I962" t="s">
        <v>558</v>
      </c>
      <c r="J962" t="s">
        <v>559</v>
      </c>
    </row>
    <row r="963" spans="1:10" hidden="1" x14ac:dyDescent="0.25">
      <c r="A963" t="s">
        <v>296</v>
      </c>
      <c r="B963" t="s">
        <v>6</v>
      </c>
      <c r="C963" t="s">
        <v>7</v>
      </c>
      <c r="D963" t="s">
        <v>10</v>
      </c>
      <c r="E963" s="2">
        <v>43336.114305555559</v>
      </c>
      <c r="F963" t="s">
        <v>585</v>
      </c>
      <c r="G963" t="s">
        <v>318</v>
      </c>
      <c r="H963" t="s">
        <v>451</v>
      </c>
      <c r="I963" t="s">
        <v>494</v>
      </c>
      <c r="J963" t="s">
        <v>495</v>
      </c>
    </row>
    <row r="964" spans="1:10" hidden="1" x14ac:dyDescent="0.25">
      <c r="A964" t="s">
        <v>86</v>
      </c>
      <c r="B964" t="s">
        <v>6</v>
      </c>
      <c r="C964" t="s">
        <v>7</v>
      </c>
      <c r="D964" t="s">
        <v>13</v>
      </c>
      <c r="E964" s="2">
        <v>43336.114374999997</v>
      </c>
      <c r="F964" t="s">
        <v>590</v>
      </c>
      <c r="G964" t="s">
        <v>428</v>
      </c>
      <c r="H964" t="s">
        <v>434</v>
      </c>
      <c r="I964" t="s">
        <v>513</v>
      </c>
      <c r="J964" t="s">
        <v>513</v>
      </c>
    </row>
    <row r="965" spans="1:10" hidden="1" x14ac:dyDescent="0.25">
      <c r="A965" t="s">
        <v>112</v>
      </c>
      <c r="B965" t="s">
        <v>6</v>
      </c>
      <c r="C965" t="s">
        <v>7</v>
      </c>
      <c r="D965" t="s">
        <v>10</v>
      </c>
      <c r="E965" s="2">
        <v>43336.114629629628</v>
      </c>
      <c r="F965" t="s">
        <v>298</v>
      </c>
      <c r="G965" t="s">
        <v>318</v>
      </c>
      <c r="H965" t="s">
        <v>452</v>
      </c>
      <c r="I965" t="s">
        <v>492</v>
      </c>
      <c r="J965" t="s">
        <v>493</v>
      </c>
    </row>
    <row r="966" spans="1:10" hidden="1" x14ac:dyDescent="0.25">
      <c r="A966" t="s">
        <v>125</v>
      </c>
      <c r="B966" t="s">
        <v>6</v>
      </c>
      <c r="C966" t="s">
        <v>7</v>
      </c>
      <c r="D966" t="s">
        <v>476</v>
      </c>
      <c r="E966" s="2">
        <v>43336.11478009259</v>
      </c>
      <c r="F966" t="s">
        <v>303</v>
      </c>
      <c r="G966" t="s">
        <v>427</v>
      </c>
      <c r="H966" t="s">
        <v>426</v>
      </c>
      <c r="I966" t="s">
        <v>494</v>
      </c>
      <c r="J966" t="s">
        <v>544</v>
      </c>
    </row>
    <row r="967" spans="1:10" hidden="1" x14ac:dyDescent="0.25">
      <c r="A967" t="s">
        <v>373</v>
      </c>
      <c r="B967" t="s">
        <v>6</v>
      </c>
      <c r="C967" t="s">
        <v>7</v>
      </c>
      <c r="D967" t="s">
        <v>27</v>
      </c>
      <c r="E967" s="2">
        <v>43336.114907407406</v>
      </c>
      <c r="F967" t="s">
        <v>587</v>
      </c>
      <c r="G967" t="s">
        <v>457</v>
      </c>
      <c r="H967" t="s">
        <v>429</v>
      </c>
      <c r="I967" t="s">
        <v>563</v>
      </c>
      <c r="J967" t="s">
        <v>491</v>
      </c>
    </row>
    <row r="968" spans="1:10" hidden="1" x14ac:dyDescent="0.25">
      <c r="A968" t="s">
        <v>31</v>
      </c>
      <c r="B968" t="s">
        <v>6</v>
      </c>
      <c r="C968" t="s">
        <v>7</v>
      </c>
      <c r="D968" t="s">
        <v>10</v>
      </c>
      <c r="E968" s="2">
        <v>43336.114918981482</v>
      </c>
      <c r="F968" t="s">
        <v>585</v>
      </c>
      <c r="G968" t="s">
        <v>318</v>
      </c>
      <c r="H968" t="s">
        <v>452</v>
      </c>
      <c r="I968" t="s">
        <v>494</v>
      </c>
      <c r="J968" t="s">
        <v>495</v>
      </c>
    </row>
    <row r="969" spans="1:10" hidden="1" x14ac:dyDescent="0.25">
      <c r="A969" t="s">
        <v>422</v>
      </c>
      <c r="B969" t="s">
        <v>6</v>
      </c>
      <c r="C969" t="s">
        <v>7</v>
      </c>
      <c r="D969" t="s">
        <v>13</v>
      </c>
      <c r="E969" s="2">
        <v>43336.114942129629</v>
      </c>
      <c r="F969" t="s">
        <v>591</v>
      </c>
      <c r="G969" t="s">
        <v>318</v>
      </c>
      <c r="H969" t="s">
        <v>445</v>
      </c>
      <c r="I969" t="s">
        <v>554</v>
      </c>
      <c r="J969" t="s">
        <v>497</v>
      </c>
    </row>
    <row r="970" spans="1:10" hidden="1" x14ac:dyDescent="0.25">
      <c r="A970" t="s">
        <v>116</v>
      </c>
      <c r="B970" t="s">
        <v>6</v>
      </c>
      <c r="C970" t="s">
        <v>7</v>
      </c>
      <c r="D970" t="s">
        <v>13</v>
      </c>
      <c r="E970" s="2">
        <v>43336.115127314813</v>
      </c>
      <c r="F970" t="s">
        <v>590</v>
      </c>
      <c r="G970" t="s">
        <v>428</v>
      </c>
      <c r="H970" t="s">
        <v>435</v>
      </c>
      <c r="I970" t="s">
        <v>513</v>
      </c>
      <c r="J970" t="s">
        <v>513</v>
      </c>
    </row>
    <row r="971" spans="1:10" hidden="1" x14ac:dyDescent="0.25">
      <c r="A971" t="s">
        <v>374</v>
      </c>
      <c r="B971" t="s">
        <v>6</v>
      </c>
      <c r="C971" t="s">
        <v>7</v>
      </c>
      <c r="D971" t="s">
        <v>10</v>
      </c>
      <c r="E971" s="2">
        <v>43336.115532407406</v>
      </c>
      <c r="F971" t="s">
        <v>587</v>
      </c>
      <c r="G971" t="s">
        <v>457</v>
      </c>
      <c r="H971" t="s">
        <v>430</v>
      </c>
      <c r="I971" t="s">
        <v>564</v>
      </c>
      <c r="J971" t="s">
        <v>491</v>
      </c>
    </row>
    <row r="972" spans="1:10" hidden="1" x14ac:dyDescent="0.25">
      <c r="A972" t="s">
        <v>388</v>
      </c>
      <c r="B972" t="s">
        <v>6</v>
      </c>
      <c r="C972" t="s">
        <v>7</v>
      </c>
      <c r="D972" t="s">
        <v>13</v>
      </c>
      <c r="E972" s="2">
        <v>43336.115671296298</v>
      </c>
      <c r="F972" t="s">
        <v>591</v>
      </c>
      <c r="G972" t="s">
        <v>318</v>
      </c>
      <c r="H972" t="s">
        <v>446</v>
      </c>
      <c r="I972" t="s">
        <v>554</v>
      </c>
      <c r="J972" t="s">
        <v>497</v>
      </c>
    </row>
    <row r="973" spans="1:10" hidden="1" x14ac:dyDescent="0.25">
      <c r="A973" t="s">
        <v>85</v>
      </c>
      <c r="B973" t="s">
        <v>6</v>
      </c>
      <c r="C973" t="s">
        <v>7</v>
      </c>
      <c r="D973" t="s">
        <v>476</v>
      </c>
      <c r="E973" s="2">
        <v>43336.11577546296</v>
      </c>
      <c r="F973" t="s">
        <v>590</v>
      </c>
      <c r="G973" t="s">
        <v>428</v>
      </c>
      <c r="H973" t="s">
        <v>436</v>
      </c>
      <c r="I973" t="s">
        <v>513</v>
      </c>
      <c r="J973" t="s">
        <v>513</v>
      </c>
    </row>
    <row r="974" spans="1:10" hidden="1" x14ac:dyDescent="0.25">
      <c r="A974" t="s">
        <v>411</v>
      </c>
      <c r="B974" t="s">
        <v>306</v>
      </c>
      <c r="C974" t="s">
        <v>306</v>
      </c>
      <c r="D974" t="s">
        <v>307</v>
      </c>
      <c r="E974" s="2">
        <v>43336.11582175926</v>
      </c>
      <c r="F974" t="s">
        <v>586</v>
      </c>
      <c r="G974" t="s">
        <v>318</v>
      </c>
      <c r="H974" t="s">
        <v>435</v>
      </c>
      <c r="I974" t="s">
        <v>490</v>
      </c>
      <c r="J974" t="s">
        <v>491</v>
      </c>
    </row>
    <row r="975" spans="1:10" hidden="1" x14ac:dyDescent="0.25">
      <c r="A975" t="s">
        <v>375</v>
      </c>
      <c r="B975" t="s">
        <v>6</v>
      </c>
      <c r="C975" t="s">
        <v>7</v>
      </c>
      <c r="D975" t="s">
        <v>10</v>
      </c>
      <c r="E975" s="2">
        <v>43336.11614583333</v>
      </c>
      <c r="F975" t="s">
        <v>587</v>
      </c>
      <c r="G975" t="s">
        <v>457</v>
      </c>
      <c r="H975" t="s">
        <v>431</v>
      </c>
      <c r="I975" t="s">
        <v>566</v>
      </c>
      <c r="J975" t="s">
        <v>491</v>
      </c>
    </row>
    <row r="976" spans="1:10" hidden="1" x14ac:dyDescent="0.25">
      <c r="A976" t="s">
        <v>333</v>
      </c>
      <c r="B976" t="s">
        <v>6</v>
      </c>
      <c r="C976" t="s">
        <v>7</v>
      </c>
      <c r="D976" t="s">
        <v>13</v>
      </c>
      <c r="E976" s="2">
        <v>43336.116400462961</v>
      </c>
      <c r="F976" t="s">
        <v>591</v>
      </c>
      <c r="G976" t="s">
        <v>318</v>
      </c>
      <c r="H976" t="s">
        <v>447</v>
      </c>
      <c r="I976" t="s">
        <v>554</v>
      </c>
      <c r="J976" t="s">
        <v>497</v>
      </c>
    </row>
    <row r="977" spans="1:10" hidden="1" x14ac:dyDescent="0.25">
      <c r="A977" t="s">
        <v>84</v>
      </c>
      <c r="B977" t="s">
        <v>6</v>
      </c>
      <c r="C977" t="s">
        <v>7</v>
      </c>
      <c r="D977" t="s">
        <v>10</v>
      </c>
      <c r="E977" s="2">
        <v>43336.116400462961</v>
      </c>
      <c r="F977" t="s">
        <v>590</v>
      </c>
      <c r="G977" t="s">
        <v>428</v>
      </c>
      <c r="H977" t="s">
        <v>437</v>
      </c>
      <c r="I977" t="s">
        <v>513</v>
      </c>
      <c r="J977" t="s">
        <v>513</v>
      </c>
    </row>
    <row r="978" spans="1:10" hidden="1" x14ac:dyDescent="0.25">
      <c r="A978" t="s">
        <v>343</v>
      </c>
      <c r="B978" t="s">
        <v>6</v>
      </c>
      <c r="C978" t="s">
        <v>7</v>
      </c>
      <c r="D978" t="s">
        <v>10</v>
      </c>
      <c r="E978" s="2">
        <v>43336.116770833331</v>
      </c>
      <c r="F978" t="s">
        <v>587</v>
      </c>
      <c r="G978" t="s">
        <v>457</v>
      </c>
      <c r="H978" t="s">
        <v>432</v>
      </c>
      <c r="I978" t="s">
        <v>567</v>
      </c>
      <c r="J978" t="s">
        <v>491</v>
      </c>
    </row>
    <row r="979" spans="1:10" hidden="1" x14ac:dyDescent="0.25">
      <c r="A979" t="s">
        <v>83</v>
      </c>
      <c r="B979" t="s">
        <v>6</v>
      </c>
      <c r="C979" t="s">
        <v>7</v>
      </c>
      <c r="D979" t="s">
        <v>10</v>
      </c>
      <c r="E979" s="2">
        <v>43336.117129629631</v>
      </c>
      <c r="F979" t="s">
        <v>590</v>
      </c>
      <c r="G979" t="s">
        <v>428</v>
      </c>
      <c r="H979" t="s">
        <v>438</v>
      </c>
      <c r="I979" t="s">
        <v>513</v>
      </c>
      <c r="J979" t="s">
        <v>513</v>
      </c>
    </row>
    <row r="980" spans="1:10" hidden="1" x14ac:dyDescent="0.25">
      <c r="A980" t="s">
        <v>308</v>
      </c>
      <c r="B980" t="s">
        <v>6</v>
      </c>
      <c r="C980" t="s">
        <v>7</v>
      </c>
      <c r="D980" t="s">
        <v>13</v>
      </c>
      <c r="E980" s="2">
        <v>43336.117256944446</v>
      </c>
      <c r="F980" t="s">
        <v>591</v>
      </c>
      <c r="G980" t="s">
        <v>318</v>
      </c>
      <c r="H980" t="s">
        <v>448</v>
      </c>
      <c r="I980" t="s">
        <v>554</v>
      </c>
      <c r="J980" t="s">
        <v>497</v>
      </c>
    </row>
    <row r="981" spans="1:10" hidden="1" x14ac:dyDescent="0.25">
      <c r="A981" t="s">
        <v>344</v>
      </c>
      <c r="B981" t="s">
        <v>6</v>
      </c>
      <c r="C981" t="s">
        <v>7</v>
      </c>
      <c r="D981" t="s">
        <v>10</v>
      </c>
      <c r="E981" s="2">
        <v>43336.117372685185</v>
      </c>
      <c r="F981" t="s">
        <v>587</v>
      </c>
      <c r="G981" t="s">
        <v>457</v>
      </c>
      <c r="H981" t="s">
        <v>433</v>
      </c>
      <c r="I981" t="s">
        <v>569</v>
      </c>
      <c r="J981" t="s">
        <v>491</v>
      </c>
    </row>
    <row r="982" spans="1:10" hidden="1" x14ac:dyDescent="0.25">
      <c r="A982" t="s">
        <v>345</v>
      </c>
      <c r="B982" t="s">
        <v>6</v>
      </c>
      <c r="C982" t="s">
        <v>7</v>
      </c>
      <c r="D982" t="s">
        <v>10</v>
      </c>
      <c r="E982" s="2">
        <v>43336.117997685185</v>
      </c>
      <c r="F982" t="s">
        <v>587</v>
      </c>
      <c r="G982" t="s">
        <v>457</v>
      </c>
      <c r="H982" t="s">
        <v>434</v>
      </c>
      <c r="I982" t="s">
        <v>571</v>
      </c>
      <c r="J982" t="s">
        <v>491</v>
      </c>
    </row>
    <row r="983" spans="1:10" hidden="1" x14ac:dyDescent="0.25">
      <c r="A983" t="s">
        <v>423</v>
      </c>
      <c r="B983" t="s">
        <v>6</v>
      </c>
      <c r="C983" t="s">
        <v>7</v>
      </c>
      <c r="D983" t="s">
        <v>13</v>
      </c>
      <c r="E983" s="2">
        <v>43336.118009259262</v>
      </c>
      <c r="F983" t="s">
        <v>591</v>
      </c>
      <c r="G983" t="s">
        <v>318</v>
      </c>
      <c r="H983" t="s">
        <v>449</v>
      </c>
      <c r="I983" t="s">
        <v>554</v>
      </c>
      <c r="J983" t="s">
        <v>497</v>
      </c>
    </row>
    <row r="984" spans="1:10" hidden="1" x14ac:dyDescent="0.25">
      <c r="A984" t="s">
        <v>346</v>
      </c>
      <c r="B984" t="s">
        <v>6</v>
      </c>
      <c r="C984" t="s">
        <v>7</v>
      </c>
      <c r="D984" t="s">
        <v>10</v>
      </c>
      <c r="E984" s="2">
        <v>43336.118611111109</v>
      </c>
      <c r="F984" t="s">
        <v>587</v>
      </c>
      <c r="G984" t="s">
        <v>457</v>
      </c>
      <c r="H984" t="s">
        <v>435</v>
      </c>
      <c r="I984" t="s">
        <v>570</v>
      </c>
      <c r="J984" t="s">
        <v>491</v>
      </c>
    </row>
    <row r="985" spans="1:10" hidden="1" x14ac:dyDescent="0.25">
      <c r="A985" t="s">
        <v>412</v>
      </c>
      <c r="B985" t="s">
        <v>306</v>
      </c>
      <c r="C985" t="s">
        <v>306</v>
      </c>
      <c r="D985" t="s">
        <v>307</v>
      </c>
      <c r="E985" s="2">
        <v>43336.118611111109</v>
      </c>
      <c r="F985" t="s">
        <v>586</v>
      </c>
      <c r="G985" t="s">
        <v>318</v>
      </c>
      <c r="H985" t="s">
        <v>436</v>
      </c>
      <c r="I985" t="s">
        <v>490</v>
      </c>
      <c r="J985" t="s">
        <v>491</v>
      </c>
    </row>
    <row r="986" spans="1:10" hidden="1" x14ac:dyDescent="0.25">
      <c r="A986" t="s">
        <v>424</v>
      </c>
      <c r="B986" t="s">
        <v>6</v>
      </c>
      <c r="C986" t="s">
        <v>7</v>
      </c>
      <c r="D986" t="s">
        <v>13</v>
      </c>
      <c r="E986" s="2">
        <v>43336.118750000001</v>
      </c>
      <c r="F986" t="s">
        <v>591</v>
      </c>
      <c r="G986" t="s">
        <v>318</v>
      </c>
      <c r="H986" t="s">
        <v>450</v>
      </c>
      <c r="I986" t="s">
        <v>554</v>
      </c>
      <c r="J986" t="s">
        <v>497</v>
      </c>
    </row>
    <row r="987" spans="1:10" hidden="1" x14ac:dyDescent="0.25">
      <c r="A987" t="s">
        <v>417</v>
      </c>
      <c r="B987" t="s">
        <v>6</v>
      </c>
      <c r="C987" t="s">
        <v>7</v>
      </c>
      <c r="D987" t="s">
        <v>10</v>
      </c>
      <c r="E987" s="2">
        <v>43336.119386574072</v>
      </c>
      <c r="F987" t="s">
        <v>591</v>
      </c>
      <c r="G987" t="s">
        <v>318</v>
      </c>
      <c r="H987" t="s">
        <v>451</v>
      </c>
      <c r="I987" t="s">
        <v>490</v>
      </c>
      <c r="J987" t="s">
        <v>497</v>
      </c>
    </row>
    <row r="988" spans="1:10" hidden="1" x14ac:dyDescent="0.25">
      <c r="A988" t="s">
        <v>419</v>
      </c>
      <c r="B988" t="s">
        <v>6</v>
      </c>
      <c r="C988" t="s">
        <v>7</v>
      </c>
      <c r="D988" t="s">
        <v>10</v>
      </c>
      <c r="E988" s="2">
        <v>43336.12</v>
      </c>
      <c r="F988" t="s">
        <v>591</v>
      </c>
      <c r="G988" t="s">
        <v>318</v>
      </c>
      <c r="H988" t="s">
        <v>452</v>
      </c>
      <c r="I988" t="s">
        <v>490</v>
      </c>
      <c r="J988" t="s">
        <v>497</v>
      </c>
    </row>
    <row r="989" spans="1:10" hidden="1" x14ac:dyDescent="0.25">
      <c r="A989" t="s">
        <v>413</v>
      </c>
      <c r="B989" t="s">
        <v>306</v>
      </c>
      <c r="C989" t="s">
        <v>306</v>
      </c>
      <c r="D989" t="s">
        <v>307</v>
      </c>
      <c r="E989" s="2">
        <v>43336.121400462966</v>
      </c>
      <c r="F989" t="s">
        <v>586</v>
      </c>
      <c r="G989" t="s">
        <v>318</v>
      </c>
      <c r="H989" t="s">
        <v>437</v>
      </c>
      <c r="I989" t="s">
        <v>490</v>
      </c>
      <c r="J989" t="s">
        <v>491</v>
      </c>
    </row>
    <row r="990" spans="1:10" hidden="1" x14ac:dyDescent="0.25">
      <c r="A990" t="s">
        <v>409</v>
      </c>
      <c r="B990" t="s">
        <v>306</v>
      </c>
      <c r="C990" t="s">
        <v>306</v>
      </c>
      <c r="D990" t="s">
        <v>307</v>
      </c>
      <c r="E990" s="2">
        <v>43336.124189814815</v>
      </c>
      <c r="F990" t="s">
        <v>586</v>
      </c>
      <c r="G990" t="s">
        <v>318</v>
      </c>
      <c r="H990" t="s">
        <v>438</v>
      </c>
      <c r="I990" t="s">
        <v>490</v>
      </c>
      <c r="J990" t="s">
        <v>491</v>
      </c>
    </row>
    <row r="991" spans="1:10" hidden="1" x14ac:dyDescent="0.25">
      <c r="A991" t="s">
        <v>363</v>
      </c>
      <c r="B991" t="s">
        <v>306</v>
      </c>
      <c r="C991" t="s">
        <v>306</v>
      </c>
      <c r="D991" t="s">
        <v>307</v>
      </c>
      <c r="E991" s="2">
        <v>43336.126979166664</v>
      </c>
      <c r="F991" t="s">
        <v>586</v>
      </c>
      <c r="G991" t="s">
        <v>318</v>
      </c>
      <c r="H991" t="s">
        <v>439</v>
      </c>
      <c r="I991" t="s">
        <v>490</v>
      </c>
      <c r="J991" t="s">
        <v>491</v>
      </c>
    </row>
    <row r="992" spans="1:10" hidden="1" x14ac:dyDescent="0.25">
      <c r="A992" t="s">
        <v>267</v>
      </c>
      <c r="B992" t="s">
        <v>306</v>
      </c>
      <c r="C992" t="s">
        <v>306</v>
      </c>
      <c r="D992" t="s">
        <v>307</v>
      </c>
      <c r="E992" s="2">
        <v>43336.127638888887</v>
      </c>
      <c r="F992" t="s">
        <v>302</v>
      </c>
      <c r="G992" t="s">
        <v>318</v>
      </c>
      <c r="H992" t="s">
        <v>318</v>
      </c>
      <c r="I992" t="s">
        <v>498</v>
      </c>
      <c r="J992" t="s">
        <v>498</v>
      </c>
    </row>
    <row r="993" spans="1:10" hidden="1" x14ac:dyDescent="0.25">
      <c r="A993" t="s">
        <v>377</v>
      </c>
      <c r="B993" t="s">
        <v>6</v>
      </c>
      <c r="C993" t="s">
        <v>7</v>
      </c>
      <c r="D993" t="s">
        <v>10</v>
      </c>
      <c r="E993" s="2">
        <v>43336.128541666665</v>
      </c>
      <c r="F993" t="s">
        <v>298</v>
      </c>
      <c r="G993" t="s">
        <v>318</v>
      </c>
      <c r="H993" t="s">
        <v>318</v>
      </c>
      <c r="I993" t="s">
        <v>581</v>
      </c>
      <c r="J993" t="s">
        <v>581</v>
      </c>
    </row>
    <row r="994" spans="1:10" hidden="1" x14ac:dyDescent="0.25">
      <c r="A994" t="s">
        <v>384</v>
      </c>
      <c r="B994" t="s">
        <v>6</v>
      </c>
      <c r="C994" t="s">
        <v>7</v>
      </c>
      <c r="D994" t="s">
        <v>10</v>
      </c>
      <c r="E994" s="2">
        <v>43336.129143518519</v>
      </c>
      <c r="F994" t="s">
        <v>298</v>
      </c>
      <c r="G994" t="s">
        <v>318</v>
      </c>
      <c r="H994" t="s">
        <v>323</v>
      </c>
      <c r="I994" t="s">
        <v>581</v>
      </c>
      <c r="J994" t="s">
        <v>581</v>
      </c>
    </row>
    <row r="995" spans="1:10" hidden="1" x14ac:dyDescent="0.25">
      <c r="A995" t="s">
        <v>111</v>
      </c>
      <c r="B995" t="s">
        <v>6</v>
      </c>
      <c r="C995" t="s">
        <v>7</v>
      </c>
      <c r="D995" t="s">
        <v>10</v>
      </c>
      <c r="E995" s="2">
        <v>43336.129467592589</v>
      </c>
      <c r="F995" t="s">
        <v>299</v>
      </c>
      <c r="G995" t="s">
        <v>318</v>
      </c>
      <c r="H995" t="s">
        <v>318</v>
      </c>
      <c r="I995" t="s">
        <v>492</v>
      </c>
      <c r="J995" t="s">
        <v>493</v>
      </c>
    </row>
    <row r="996" spans="1:10" hidden="1" x14ac:dyDescent="0.25">
      <c r="A996" t="s">
        <v>326</v>
      </c>
      <c r="B996" t="s">
        <v>6</v>
      </c>
      <c r="C996" t="s">
        <v>7</v>
      </c>
      <c r="D996" t="s">
        <v>10</v>
      </c>
      <c r="E996" s="2">
        <v>43336.129745370374</v>
      </c>
      <c r="F996" t="s">
        <v>298</v>
      </c>
      <c r="G996" t="s">
        <v>318</v>
      </c>
      <c r="H996" t="s">
        <v>385</v>
      </c>
      <c r="I996" t="s">
        <v>581</v>
      </c>
      <c r="J996" t="s">
        <v>581</v>
      </c>
    </row>
    <row r="997" spans="1:10" hidden="1" x14ac:dyDescent="0.25">
      <c r="A997" t="s">
        <v>400</v>
      </c>
      <c r="B997" t="s">
        <v>306</v>
      </c>
      <c r="C997" t="s">
        <v>306</v>
      </c>
      <c r="D997" t="s">
        <v>307</v>
      </c>
      <c r="E997" s="2">
        <v>43336.12976851852</v>
      </c>
      <c r="F997" t="s">
        <v>586</v>
      </c>
      <c r="G997" t="s">
        <v>318</v>
      </c>
      <c r="H997" t="s">
        <v>440</v>
      </c>
      <c r="I997" t="s">
        <v>490</v>
      </c>
      <c r="J997" t="s">
        <v>491</v>
      </c>
    </row>
    <row r="998" spans="1:10" hidden="1" x14ac:dyDescent="0.25">
      <c r="A998" t="s">
        <v>272</v>
      </c>
      <c r="B998" t="s">
        <v>6</v>
      </c>
      <c r="C998" t="s">
        <v>7</v>
      </c>
      <c r="D998" t="s">
        <v>10</v>
      </c>
      <c r="E998" s="2">
        <v>43336.13009259259</v>
      </c>
      <c r="F998" t="s">
        <v>300</v>
      </c>
      <c r="G998" t="s">
        <v>462</v>
      </c>
      <c r="H998" t="s">
        <v>431</v>
      </c>
      <c r="I998" t="s">
        <v>494</v>
      </c>
      <c r="J998" t="s">
        <v>582</v>
      </c>
    </row>
    <row r="999" spans="1:10" hidden="1" x14ac:dyDescent="0.25">
      <c r="A999" t="s">
        <v>110</v>
      </c>
      <c r="B999" t="s">
        <v>6</v>
      </c>
      <c r="C999" t="s">
        <v>7</v>
      </c>
      <c r="D999" t="s">
        <v>10</v>
      </c>
      <c r="E999" s="2">
        <v>43336.130115740743</v>
      </c>
      <c r="F999" t="s">
        <v>299</v>
      </c>
      <c r="G999" t="s">
        <v>318</v>
      </c>
      <c r="H999" t="s">
        <v>323</v>
      </c>
      <c r="I999" t="s">
        <v>492</v>
      </c>
      <c r="J999" t="s">
        <v>493</v>
      </c>
    </row>
    <row r="1000" spans="1:10" hidden="1" x14ac:dyDescent="0.25">
      <c r="A1000" t="s">
        <v>463</v>
      </c>
      <c r="B1000" t="s">
        <v>6</v>
      </c>
      <c r="C1000" t="s">
        <v>7</v>
      </c>
      <c r="D1000" t="s">
        <v>10</v>
      </c>
      <c r="E1000" s="2">
        <v>43336.130370370367</v>
      </c>
      <c r="F1000" t="s">
        <v>298</v>
      </c>
      <c r="G1000" t="s">
        <v>318</v>
      </c>
      <c r="H1000" t="s">
        <v>457</v>
      </c>
      <c r="I1000" t="s">
        <v>581</v>
      </c>
      <c r="J1000" t="s">
        <v>581</v>
      </c>
    </row>
    <row r="1001" spans="1:10" hidden="1" x14ac:dyDescent="0.25">
      <c r="A1001" t="s">
        <v>282</v>
      </c>
      <c r="B1001" t="s">
        <v>6</v>
      </c>
      <c r="C1001" t="s">
        <v>7</v>
      </c>
      <c r="D1001" t="s">
        <v>10</v>
      </c>
      <c r="E1001" s="2">
        <v>43336.130706018521</v>
      </c>
      <c r="F1001" t="s">
        <v>300</v>
      </c>
      <c r="G1001" t="s">
        <v>462</v>
      </c>
      <c r="H1001" t="s">
        <v>432</v>
      </c>
      <c r="I1001" t="s">
        <v>494</v>
      </c>
      <c r="J1001" t="s">
        <v>582</v>
      </c>
    </row>
    <row r="1002" spans="1:10" hidden="1" x14ac:dyDescent="0.25">
      <c r="A1002" t="s">
        <v>109</v>
      </c>
      <c r="B1002" t="s">
        <v>6</v>
      </c>
      <c r="C1002" t="s">
        <v>7</v>
      </c>
      <c r="D1002" t="s">
        <v>10</v>
      </c>
      <c r="E1002" s="2">
        <v>43336.13076388889</v>
      </c>
      <c r="F1002" t="s">
        <v>299</v>
      </c>
      <c r="G1002" t="s">
        <v>318</v>
      </c>
      <c r="H1002" t="s">
        <v>385</v>
      </c>
      <c r="I1002" t="s">
        <v>533</v>
      </c>
      <c r="J1002" t="s">
        <v>543</v>
      </c>
    </row>
    <row r="1003" spans="1:10" hidden="1" x14ac:dyDescent="0.25">
      <c r="A1003" t="s">
        <v>284</v>
      </c>
      <c r="B1003" t="s">
        <v>6</v>
      </c>
      <c r="C1003" t="s">
        <v>7</v>
      </c>
      <c r="D1003" t="s">
        <v>13</v>
      </c>
      <c r="E1003" s="2">
        <v>43336.130879629629</v>
      </c>
      <c r="F1003" t="s">
        <v>303</v>
      </c>
      <c r="G1003" t="s">
        <v>428</v>
      </c>
      <c r="H1003" t="s">
        <v>427</v>
      </c>
      <c r="I1003" t="s">
        <v>494</v>
      </c>
      <c r="J1003" t="s">
        <v>544</v>
      </c>
    </row>
    <row r="1004" spans="1:10" hidden="1" x14ac:dyDescent="0.25">
      <c r="A1004" t="s">
        <v>464</v>
      </c>
      <c r="B1004" t="s">
        <v>6</v>
      </c>
      <c r="C1004" t="s">
        <v>7</v>
      </c>
      <c r="D1004" t="s">
        <v>10</v>
      </c>
      <c r="E1004" s="2">
        <v>43336.130960648145</v>
      </c>
      <c r="F1004" t="s">
        <v>298</v>
      </c>
      <c r="G1004" t="s">
        <v>318</v>
      </c>
      <c r="H1004" t="s">
        <v>458</v>
      </c>
      <c r="I1004" t="s">
        <v>581</v>
      </c>
      <c r="J1004" t="s">
        <v>581</v>
      </c>
    </row>
    <row r="1005" spans="1:10" hidden="1" x14ac:dyDescent="0.25">
      <c r="A1005" t="s">
        <v>245</v>
      </c>
      <c r="B1005" t="s">
        <v>6</v>
      </c>
      <c r="C1005" t="s">
        <v>7</v>
      </c>
      <c r="D1005" t="s">
        <v>10</v>
      </c>
      <c r="E1005" s="2">
        <v>43336.131319444445</v>
      </c>
      <c r="F1005" t="s">
        <v>300</v>
      </c>
      <c r="G1005" t="s">
        <v>462</v>
      </c>
      <c r="H1005" t="s">
        <v>433</v>
      </c>
      <c r="I1005" t="s">
        <v>494</v>
      </c>
      <c r="J1005" t="s">
        <v>582</v>
      </c>
    </row>
    <row r="1006" spans="1:10" hidden="1" x14ac:dyDescent="0.25">
      <c r="A1006" t="s">
        <v>104</v>
      </c>
      <c r="B1006" t="s">
        <v>6</v>
      </c>
      <c r="C1006" t="s">
        <v>7</v>
      </c>
      <c r="D1006" t="s">
        <v>10</v>
      </c>
      <c r="E1006" s="2">
        <v>43336.131412037037</v>
      </c>
      <c r="F1006" t="s">
        <v>299</v>
      </c>
      <c r="G1006" t="s">
        <v>318</v>
      </c>
      <c r="H1006" t="s">
        <v>457</v>
      </c>
      <c r="I1006" t="s">
        <v>533</v>
      </c>
      <c r="J1006" t="s">
        <v>543</v>
      </c>
    </row>
    <row r="1007" spans="1:10" hidden="1" x14ac:dyDescent="0.25">
      <c r="A1007" t="s">
        <v>215</v>
      </c>
      <c r="B1007" t="s">
        <v>6</v>
      </c>
      <c r="C1007" t="s">
        <v>7</v>
      </c>
      <c r="D1007" t="s">
        <v>10</v>
      </c>
      <c r="E1007" s="2">
        <v>43336.131504629629</v>
      </c>
      <c r="F1007" t="s">
        <v>303</v>
      </c>
      <c r="G1007" t="s">
        <v>428</v>
      </c>
      <c r="H1007" t="s">
        <v>428</v>
      </c>
      <c r="I1007" t="s">
        <v>494</v>
      </c>
      <c r="J1007" t="s">
        <v>501</v>
      </c>
    </row>
    <row r="1008" spans="1:10" hidden="1" x14ac:dyDescent="0.25">
      <c r="A1008" t="s">
        <v>482</v>
      </c>
      <c r="B1008" t="s">
        <v>6</v>
      </c>
      <c r="C1008" t="s">
        <v>7</v>
      </c>
      <c r="D1008" t="s">
        <v>10</v>
      </c>
      <c r="E1008" s="2">
        <v>43336.131655092591</v>
      </c>
      <c r="F1008" t="s">
        <v>298</v>
      </c>
      <c r="G1008" t="s">
        <v>318</v>
      </c>
      <c r="H1008" t="s">
        <v>459</v>
      </c>
      <c r="I1008" t="s">
        <v>581</v>
      </c>
      <c r="J1008" t="s">
        <v>581</v>
      </c>
    </row>
    <row r="1009" spans="1:10" hidden="1" x14ac:dyDescent="0.25">
      <c r="A1009" t="s">
        <v>172</v>
      </c>
      <c r="B1009" t="s">
        <v>6</v>
      </c>
      <c r="C1009" t="s">
        <v>7</v>
      </c>
      <c r="D1009" t="s">
        <v>10</v>
      </c>
      <c r="E1009" s="2">
        <v>43336.131678240738</v>
      </c>
      <c r="F1009" t="s">
        <v>585</v>
      </c>
      <c r="G1009" t="s">
        <v>318</v>
      </c>
      <c r="H1009" t="s">
        <v>318</v>
      </c>
      <c r="I1009" t="s">
        <v>494</v>
      </c>
      <c r="J1009" t="s">
        <v>501</v>
      </c>
    </row>
    <row r="1010" spans="1:10" hidden="1" x14ac:dyDescent="0.25">
      <c r="A1010" t="s">
        <v>246</v>
      </c>
      <c r="B1010" t="s">
        <v>6</v>
      </c>
      <c r="C1010" t="s">
        <v>7</v>
      </c>
      <c r="D1010" t="s">
        <v>10</v>
      </c>
      <c r="E1010" s="2">
        <v>43336.131944444445</v>
      </c>
      <c r="F1010" t="s">
        <v>300</v>
      </c>
      <c r="G1010" t="s">
        <v>462</v>
      </c>
      <c r="H1010" t="s">
        <v>434</v>
      </c>
      <c r="I1010" t="s">
        <v>494</v>
      </c>
      <c r="J1010" t="s">
        <v>582</v>
      </c>
    </row>
    <row r="1011" spans="1:10" hidden="1" x14ac:dyDescent="0.25">
      <c r="A1011" t="s">
        <v>98</v>
      </c>
      <c r="B1011" t="s">
        <v>6</v>
      </c>
      <c r="C1011" t="s">
        <v>7</v>
      </c>
      <c r="D1011" t="s">
        <v>476</v>
      </c>
      <c r="E1011" s="2">
        <v>43336.132037037038</v>
      </c>
      <c r="F1011" t="s">
        <v>299</v>
      </c>
      <c r="G1011" t="s">
        <v>318</v>
      </c>
      <c r="H1011" t="s">
        <v>458</v>
      </c>
      <c r="I1011" t="s">
        <v>545</v>
      </c>
      <c r="J1011" t="s">
        <v>497</v>
      </c>
    </row>
    <row r="1012" spans="1:10" hidden="1" x14ac:dyDescent="0.25">
      <c r="A1012" t="s">
        <v>285</v>
      </c>
      <c r="B1012" t="s">
        <v>6</v>
      </c>
      <c r="C1012" t="s">
        <v>7</v>
      </c>
      <c r="D1012" t="s">
        <v>10</v>
      </c>
      <c r="E1012" s="2">
        <v>43336.13212962963</v>
      </c>
      <c r="F1012" t="s">
        <v>303</v>
      </c>
      <c r="G1012" t="s">
        <v>428</v>
      </c>
      <c r="H1012" t="s">
        <v>429</v>
      </c>
      <c r="I1012" t="s">
        <v>494</v>
      </c>
      <c r="J1012" t="s">
        <v>501</v>
      </c>
    </row>
    <row r="1013" spans="1:10" hidden="1" x14ac:dyDescent="0.25">
      <c r="A1013" t="s">
        <v>123</v>
      </c>
      <c r="B1013" t="s">
        <v>6</v>
      </c>
      <c r="C1013" t="s">
        <v>7</v>
      </c>
      <c r="D1013" t="s">
        <v>10</v>
      </c>
      <c r="E1013" s="2">
        <v>43336.132233796299</v>
      </c>
      <c r="F1013" t="s">
        <v>590</v>
      </c>
      <c r="G1013" t="s">
        <v>429</v>
      </c>
      <c r="H1013" t="s">
        <v>439</v>
      </c>
      <c r="I1013" t="s">
        <v>513</v>
      </c>
      <c r="J1013" t="s">
        <v>513</v>
      </c>
    </row>
    <row r="1014" spans="1:10" hidden="1" x14ac:dyDescent="0.25">
      <c r="A1014" t="s">
        <v>479</v>
      </c>
      <c r="B1014" t="s">
        <v>6</v>
      </c>
      <c r="C1014" t="s">
        <v>7</v>
      </c>
      <c r="D1014" t="s">
        <v>10</v>
      </c>
      <c r="E1014" s="2">
        <v>43336.132268518515</v>
      </c>
      <c r="F1014" t="s">
        <v>298</v>
      </c>
      <c r="G1014" t="s">
        <v>318</v>
      </c>
      <c r="H1014" t="s">
        <v>460</v>
      </c>
      <c r="I1014" t="s">
        <v>581</v>
      </c>
      <c r="J1014" t="s">
        <v>581</v>
      </c>
    </row>
    <row r="1015" spans="1:10" hidden="1" x14ac:dyDescent="0.25">
      <c r="A1015" t="s">
        <v>171</v>
      </c>
      <c r="B1015" t="s">
        <v>6</v>
      </c>
      <c r="C1015" t="s">
        <v>7</v>
      </c>
      <c r="D1015" t="s">
        <v>10</v>
      </c>
      <c r="E1015" s="2">
        <v>43336.132303240738</v>
      </c>
      <c r="F1015" t="s">
        <v>585</v>
      </c>
      <c r="G1015" t="s">
        <v>318</v>
      </c>
      <c r="H1015" t="s">
        <v>323</v>
      </c>
      <c r="I1015" t="s">
        <v>494</v>
      </c>
      <c r="J1015" t="s">
        <v>501</v>
      </c>
    </row>
    <row r="1016" spans="1:10" hidden="1" x14ac:dyDescent="0.25">
      <c r="A1016" t="s">
        <v>247</v>
      </c>
      <c r="B1016" t="s">
        <v>6</v>
      </c>
      <c r="C1016" t="s">
        <v>7</v>
      </c>
      <c r="D1016" t="s">
        <v>10</v>
      </c>
      <c r="E1016" s="2">
        <v>43336.132569444446</v>
      </c>
      <c r="F1016" t="s">
        <v>300</v>
      </c>
      <c r="G1016" t="s">
        <v>462</v>
      </c>
      <c r="H1016" t="s">
        <v>435</v>
      </c>
      <c r="I1016" t="s">
        <v>494</v>
      </c>
      <c r="J1016" t="s">
        <v>582</v>
      </c>
    </row>
    <row r="1017" spans="1:10" hidden="1" x14ac:dyDescent="0.25">
      <c r="A1017" t="s">
        <v>376</v>
      </c>
      <c r="B1017" t="s">
        <v>306</v>
      </c>
      <c r="C1017" t="s">
        <v>306</v>
      </c>
      <c r="D1017" t="s">
        <v>307</v>
      </c>
      <c r="E1017" s="2">
        <v>43336.132569444446</v>
      </c>
      <c r="F1017" t="s">
        <v>586</v>
      </c>
      <c r="G1017" t="s">
        <v>318</v>
      </c>
      <c r="H1017" t="s">
        <v>441</v>
      </c>
      <c r="I1017" t="s">
        <v>490</v>
      </c>
      <c r="J1017" t="s">
        <v>491</v>
      </c>
    </row>
    <row r="1018" spans="1:10" hidden="1" x14ac:dyDescent="0.25">
      <c r="A1018" t="s">
        <v>150</v>
      </c>
      <c r="B1018" t="s">
        <v>6</v>
      </c>
      <c r="C1018" t="s">
        <v>7</v>
      </c>
      <c r="D1018" t="s">
        <v>476</v>
      </c>
      <c r="E1018" s="2">
        <v>43336.132673611108</v>
      </c>
      <c r="F1018" t="s">
        <v>299</v>
      </c>
      <c r="G1018" t="s">
        <v>318</v>
      </c>
      <c r="H1018" t="s">
        <v>459</v>
      </c>
      <c r="I1018" t="s">
        <v>545</v>
      </c>
      <c r="J1018" t="s">
        <v>497</v>
      </c>
    </row>
    <row r="1019" spans="1:10" hidden="1" x14ac:dyDescent="0.25">
      <c r="A1019" t="s">
        <v>214</v>
      </c>
      <c r="B1019" t="s">
        <v>6</v>
      </c>
      <c r="C1019" t="s">
        <v>7</v>
      </c>
      <c r="D1019" t="s">
        <v>10</v>
      </c>
      <c r="E1019" s="2">
        <v>43336.132743055554</v>
      </c>
      <c r="F1019" t="s">
        <v>303</v>
      </c>
      <c r="G1019" t="s">
        <v>428</v>
      </c>
      <c r="H1019" t="s">
        <v>430</v>
      </c>
      <c r="I1019" t="s">
        <v>494</v>
      </c>
      <c r="J1019" t="s">
        <v>501</v>
      </c>
    </row>
    <row r="1020" spans="1:10" hidden="1" x14ac:dyDescent="0.25">
      <c r="A1020" t="s">
        <v>41</v>
      </c>
      <c r="B1020" t="s">
        <v>6</v>
      </c>
      <c r="C1020" t="s">
        <v>7</v>
      </c>
      <c r="D1020" t="s">
        <v>10</v>
      </c>
      <c r="E1020" s="2">
        <v>43336.132870370369</v>
      </c>
      <c r="F1020" t="s">
        <v>590</v>
      </c>
      <c r="G1020" t="s">
        <v>429</v>
      </c>
      <c r="H1020" t="s">
        <v>440</v>
      </c>
      <c r="I1020" t="s">
        <v>513</v>
      </c>
      <c r="J1020" t="s">
        <v>513</v>
      </c>
    </row>
    <row r="1021" spans="1:10" hidden="1" x14ac:dyDescent="0.25">
      <c r="A1021" t="s">
        <v>381</v>
      </c>
      <c r="B1021" t="s">
        <v>6</v>
      </c>
      <c r="C1021" t="s">
        <v>7</v>
      </c>
      <c r="D1021" t="s">
        <v>10</v>
      </c>
      <c r="E1021" s="2">
        <v>43336.132881944446</v>
      </c>
      <c r="F1021" t="s">
        <v>298</v>
      </c>
      <c r="G1021" t="s">
        <v>318</v>
      </c>
      <c r="H1021" t="s">
        <v>461</v>
      </c>
      <c r="I1021" t="s">
        <v>581</v>
      </c>
      <c r="J1021" t="s">
        <v>581</v>
      </c>
    </row>
    <row r="1022" spans="1:10" hidden="1" x14ac:dyDescent="0.25">
      <c r="A1022" t="s">
        <v>207</v>
      </c>
      <c r="B1022" t="s">
        <v>6</v>
      </c>
      <c r="C1022" t="s">
        <v>7</v>
      </c>
      <c r="D1022" t="s">
        <v>10</v>
      </c>
      <c r="E1022" s="2">
        <v>43336.132916666669</v>
      </c>
      <c r="F1022" t="s">
        <v>585</v>
      </c>
      <c r="G1022" t="s">
        <v>318</v>
      </c>
      <c r="H1022" t="s">
        <v>385</v>
      </c>
      <c r="I1022" t="s">
        <v>494</v>
      </c>
      <c r="J1022" t="s">
        <v>501</v>
      </c>
    </row>
    <row r="1023" spans="1:10" hidden="1" x14ac:dyDescent="0.25">
      <c r="A1023" t="s">
        <v>208</v>
      </c>
      <c r="B1023" t="s">
        <v>6</v>
      </c>
      <c r="C1023" t="s">
        <v>7</v>
      </c>
      <c r="D1023" t="s">
        <v>13</v>
      </c>
      <c r="E1023" s="2">
        <v>43336.133067129631</v>
      </c>
      <c r="F1023" t="s">
        <v>591</v>
      </c>
      <c r="G1023" t="s">
        <v>318</v>
      </c>
      <c r="H1023" t="s">
        <v>318</v>
      </c>
      <c r="I1023" t="s">
        <v>497</v>
      </c>
      <c r="J1023" t="s">
        <v>497</v>
      </c>
    </row>
    <row r="1024" spans="1:10" hidden="1" x14ac:dyDescent="0.25">
      <c r="A1024" t="s">
        <v>248</v>
      </c>
      <c r="B1024" t="s">
        <v>6</v>
      </c>
      <c r="C1024" t="s">
        <v>7</v>
      </c>
      <c r="D1024" t="s">
        <v>10</v>
      </c>
      <c r="E1024" s="2">
        <v>43336.13318287037</v>
      </c>
      <c r="F1024" t="s">
        <v>300</v>
      </c>
      <c r="G1024" t="s">
        <v>462</v>
      </c>
      <c r="H1024" t="s">
        <v>436</v>
      </c>
      <c r="I1024" t="s">
        <v>494</v>
      </c>
      <c r="J1024" t="s">
        <v>582</v>
      </c>
    </row>
    <row r="1025" spans="1:10" hidden="1" x14ac:dyDescent="0.25">
      <c r="A1025" t="s">
        <v>119</v>
      </c>
      <c r="B1025" t="s">
        <v>6</v>
      </c>
      <c r="C1025" t="s">
        <v>7</v>
      </c>
      <c r="D1025" t="s">
        <v>10</v>
      </c>
      <c r="E1025" s="2">
        <v>43336.133321759262</v>
      </c>
      <c r="F1025" t="s">
        <v>299</v>
      </c>
      <c r="G1025" t="s">
        <v>318</v>
      </c>
      <c r="H1025" t="s">
        <v>460</v>
      </c>
      <c r="I1025" t="s">
        <v>545</v>
      </c>
      <c r="J1025" t="s">
        <v>497</v>
      </c>
    </row>
    <row r="1026" spans="1:10" hidden="1" x14ac:dyDescent="0.25">
      <c r="A1026" t="s">
        <v>213</v>
      </c>
      <c r="B1026" t="s">
        <v>6</v>
      </c>
      <c r="C1026" t="s">
        <v>7</v>
      </c>
      <c r="D1026" t="s">
        <v>10</v>
      </c>
      <c r="E1026" s="2">
        <v>43336.133402777778</v>
      </c>
      <c r="F1026" t="s">
        <v>303</v>
      </c>
      <c r="G1026" t="s">
        <v>428</v>
      </c>
      <c r="H1026" t="s">
        <v>431</v>
      </c>
      <c r="I1026" t="s">
        <v>494</v>
      </c>
      <c r="J1026" t="s">
        <v>501</v>
      </c>
    </row>
    <row r="1027" spans="1:10" hidden="1" x14ac:dyDescent="0.25">
      <c r="A1027" t="s">
        <v>415</v>
      </c>
      <c r="B1027" t="s">
        <v>6</v>
      </c>
      <c r="C1027" t="s">
        <v>7</v>
      </c>
      <c r="D1027" t="s">
        <v>10</v>
      </c>
      <c r="E1027" s="2">
        <v>43336.133576388886</v>
      </c>
      <c r="F1027" t="s">
        <v>298</v>
      </c>
      <c r="G1027" t="s">
        <v>318</v>
      </c>
      <c r="H1027" t="s">
        <v>462</v>
      </c>
      <c r="I1027" t="s">
        <v>581</v>
      </c>
      <c r="J1027" t="s">
        <v>581</v>
      </c>
    </row>
    <row r="1028" spans="1:10" hidden="1" x14ac:dyDescent="0.25">
      <c r="A1028" t="s">
        <v>137</v>
      </c>
      <c r="B1028" t="s">
        <v>6</v>
      </c>
      <c r="C1028" t="s">
        <v>7</v>
      </c>
      <c r="D1028" t="s">
        <v>10</v>
      </c>
      <c r="E1028" s="2">
        <v>43336.133599537039</v>
      </c>
      <c r="F1028" t="s">
        <v>585</v>
      </c>
      <c r="G1028" t="s">
        <v>318</v>
      </c>
      <c r="H1028" t="s">
        <v>457</v>
      </c>
      <c r="I1028" t="s">
        <v>494</v>
      </c>
      <c r="J1028" t="s">
        <v>501</v>
      </c>
    </row>
    <row r="1029" spans="1:10" hidden="1" x14ac:dyDescent="0.25">
      <c r="A1029" t="s">
        <v>76</v>
      </c>
      <c r="B1029" t="s">
        <v>6</v>
      </c>
      <c r="C1029" t="s">
        <v>7</v>
      </c>
      <c r="D1029" t="s">
        <v>476</v>
      </c>
      <c r="E1029" s="2">
        <v>43336.133599537039</v>
      </c>
      <c r="F1029" t="s">
        <v>590</v>
      </c>
      <c r="G1029" t="s">
        <v>429</v>
      </c>
      <c r="H1029" t="s">
        <v>441</v>
      </c>
      <c r="I1029" t="s">
        <v>507</v>
      </c>
      <c r="J1029" t="s">
        <v>507</v>
      </c>
    </row>
    <row r="1030" spans="1:10" hidden="1" x14ac:dyDescent="0.25">
      <c r="A1030" t="s">
        <v>97</v>
      </c>
      <c r="B1030" t="s">
        <v>6</v>
      </c>
      <c r="C1030" t="s">
        <v>7</v>
      </c>
      <c r="D1030" t="s">
        <v>476</v>
      </c>
      <c r="E1030" s="2">
        <v>43336.133692129632</v>
      </c>
      <c r="F1030" t="s">
        <v>591</v>
      </c>
      <c r="G1030" t="s">
        <v>318</v>
      </c>
      <c r="H1030" t="s">
        <v>323</v>
      </c>
      <c r="I1030" t="s">
        <v>497</v>
      </c>
      <c r="J1030" t="s">
        <v>497</v>
      </c>
    </row>
    <row r="1031" spans="1:10" hidden="1" x14ac:dyDescent="0.25">
      <c r="A1031" t="s">
        <v>249</v>
      </c>
      <c r="B1031" t="s">
        <v>6</v>
      </c>
      <c r="C1031" t="s">
        <v>7</v>
      </c>
      <c r="D1031" t="s">
        <v>27</v>
      </c>
      <c r="E1031" s="2">
        <v>43336.133969907409</v>
      </c>
      <c r="F1031" t="s">
        <v>300</v>
      </c>
      <c r="G1031" t="s">
        <v>462</v>
      </c>
      <c r="H1031" t="s">
        <v>437</v>
      </c>
      <c r="I1031" t="s">
        <v>494</v>
      </c>
      <c r="J1031" t="s">
        <v>583</v>
      </c>
    </row>
    <row r="1032" spans="1:10" hidden="1" x14ac:dyDescent="0.25">
      <c r="A1032" t="s">
        <v>212</v>
      </c>
      <c r="B1032" t="s">
        <v>6</v>
      </c>
      <c r="C1032" t="s">
        <v>7</v>
      </c>
      <c r="D1032" t="s">
        <v>10</v>
      </c>
      <c r="E1032" s="2">
        <v>43336.134039351855</v>
      </c>
      <c r="F1032" t="s">
        <v>303</v>
      </c>
      <c r="G1032" t="s">
        <v>428</v>
      </c>
      <c r="H1032" t="s">
        <v>432</v>
      </c>
      <c r="I1032" t="s">
        <v>494</v>
      </c>
      <c r="J1032" t="s">
        <v>501</v>
      </c>
    </row>
    <row r="1033" spans="1:10" hidden="1" x14ac:dyDescent="0.25">
      <c r="A1033" t="s">
        <v>105</v>
      </c>
      <c r="B1033" t="s">
        <v>6</v>
      </c>
      <c r="C1033" t="s">
        <v>7</v>
      </c>
      <c r="D1033" t="s">
        <v>13</v>
      </c>
      <c r="E1033" s="2">
        <v>43336.134120370371</v>
      </c>
      <c r="F1033" t="s">
        <v>299</v>
      </c>
      <c r="G1033" t="s">
        <v>318</v>
      </c>
      <c r="H1033" t="s">
        <v>461</v>
      </c>
      <c r="I1033" t="s">
        <v>545</v>
      </c>
      <c r="J1033" t="s">
        <v>497</v>
      </c>
    </row>
    <row r="1034" spans="1:10" hidden="1" x14ac:dyDescent="0.25">
      <c r="A1034" t="s">
        <v>348</v>
      </c>
      <c r="B1034" t="s">
        <v>306</v>
      </c>
      <c r="C1034" t="s">
        <v>306</v>
      </c>
      <c r="D1034" t="s">
        <v>307</v>
      </c>
      <c r="E1034" s="2">
        <v>43336.134166666663</v>
      </c>
      <c r="F1034" t="s">
        <v>587</v>
      </c>
      <c r="G1034" t="s">
        <v>458</v>
      </c>
      <c r="H1034" t="s">
        <v>436</v>
      </c>
      <c r="I1034" t="s">
        <v>573</v>
      </c>
      <c r="J1034" t="s">
        <v>491</v>
      </c>
    </row>
    <row r="1035" spans="1:10" hidden="1" x14ac:dyDescent="0.25">
      <c r="A1035" t="s">
        <v>75</v>
      </c>
      <c r="B1035" t="s">
        <v>6</v>
      </c>
      <c r="C1035" t="s">
        <v>7</v>
      </c>
      <c r="D1035" t="s">
        <v>10</v>
      </c>
      <c r="E1035" s="2">
        <v>43336.13422453704</v>
      </c>
      <c r="F1035" t="s">
        <v>590</v>
      </c>
      <c r="G1035" t="s">
        <v>429</v>
      </c>
      <c r="H1035" t="s">
        <v>442</v>
      </c>
      <c r="I1035" t="s">
        <v>504</v>
      </c>
      <c r="J1035" t="s">
        <v>504</v>
      </c>
    </row>
    <row r="1036" spans="1:10" hidden="1" x14ac:dyDescent="0.25">
      <c r="A1036" t="s">
        <v>143</v>
      </c>
      <c r="B1036" t="s">
        <v>6</v>
      </c>
      <c r="C1036" t="s">
        <v>7</v>
      </c>
      <c r="D1036" t="s">
        <v>27</v>
      </c>
      <c r="E1036" s="2">
        <v>43336.134386574071</v>
      </c>
      <c r="F1036" t="s">
        <v>585</v>
      </c>
      <c r="G1036" t="s">
        <v>318</v>
      </c>
      <c r="H1036" t="s">
        <v>458</v>
      </c>
      <c r="I1036" t="s">
        <v>494</v>
      </c>
      <c r="J1036" t="s">
        <v>501</v>
      </c>
    </row>
    <row r="1037" spans="1:10" hidden="1" x14ac:dyDescent="0.25">
      <c r="A1037" t="s">
        <v>205</v>
      </c>
      <c r="B1037" t="s">
        <v>6</v>
      </c>
      <c r="C1037" t="s">
        <v>7</v>
      </c>
      <c r="D1037" t="s">
        <v>13</v>
      </c>
      <c r="E1037" s="2">
        <v>43336.134513888886</v>
      </c>
      <c r="F1037" t="s">
        <v>591</v>
      </c>
      <c r="G1037" t="s">
        <v>318</v>
      </c>
      <c r="H1037" t="s">
        <v>385</v>
      </c>
      <c r="I1037" t="s">
        <v>497</v>
      </c>
      <c r="J1037" t="s">
        <v>497</v>
      </c>
    </row>
    <row r="1038" spans="1:10" hidden="1" x14ac:dyDescent="0.25">
      <c r="A1038" t="s">
        <v>250</v>
      </c>
      <c r="B1038" t="s">
        <v>6</v>
      </c>
      <c r="C1038" t="s">
        <v>7</v>
      </c>
      <c r="D1038" t="s">
        <v>10</v>
      </c>
      <c r="E1038" s="2">
        <v>43336.134606481479</v>
      </c>
      <c r="F1038" t="s">
        <v>300</v>
      </c>
      <c r="G1038" t="s">
        <v>462</v>
      </c>
      <c r="H1038" t="s">
        <v>438</v>
      </c>
      <c r="I1038" t="s">
        <v>494</v>
      </c>
      <c r="J1038" t="s">
        <v>583</v>
      </c>
    </row>
    <row r="1039" spans="1:10" hidden="1" x14ac:dyDescent="0.25">
      <c r="A1039" t="s">
        <v>286</v>
      </c>
      <c r="B1039" t="s">
        <v>6</v>
      </c>
      <c r="C1039" t="s">
        <v>7</v>
      </c>
      <c r="D1039" t="s">
        <v>10</v>
      </c>
      <c r="E1039" s="2">
        <v>43336.134664351855</v>
      </c>
      <c r="F1039" t="s">
        <v>303</v>
      </c>
      <c r="G1039" t="s">
        <v>428</v>
      </c>
      <c r="H1039" t="s">
        <v>433</v>
      </c>
      <c r="I1039" t="s">
        <v>494</v>
      </c>
      <c r="J1039" t="s">
        <v>501</v>
      </c>
    </row>
    <row r="1040" spans="1:10" hidden="1" x14ac:dyDescent="0.25">
      <c r="A1040" t="s">
        <v>331</v>
      </c>
      <c r="B1040" t="s">
        <v>6</v>
      </c>
      <c r="C1040" t="s">
        <v>7</v>
      </c>
      <c r="D1040" t="s">
        <v>10</v>
      </c>
      <c r="E1040" s="2">
        <v>43336.134780092594</v>
      </c>
      <c r="F1040" t="s">
        <v>587</v>
      </c>
      <c r="G1040" t="s">
        <v>458</v>
      </c>
      <c r="H1040" t="s">
        <v>437</v>
      </c>
      <c r="I1040" t="s">
        <v>574</v>
      </c>
      <c r="J1040" t="s">
        <v>491</v>
      </c>
    </row>
    <row r="1041" spans="1:10" hidden="1" x14ac:dyDescent="0.25">
      <c r="A1041" t="s">
        <v>169</v>
      </c>
      <c r="B1041" t="s">
        <v>6</v>
      </c>
      <c r="C1041" t="s">
        <v>7</v>
      </c>
      <c r="D1041" t="s">
        <v>10</v>
      </c>
      <c r="E1041" s="2">
        <v>43336.134837962964</v>
      </c>
      <c r="F1041" t="s">
        <v>590</v>
      </c>
      <c r="G1041" t="s">
        <v>429</v>
      </c>
      <c r="H1041" t="s">
        <v>443</v>
      </c>
      <c r="I1041" t="s">
        <v>498</v>
      </c>
      <c r="J1041" t="s">
        <v>498</v>
      </c>
    </row>
    <row r="1042" spans="1:10" hidden="1" x14ac:dyDescent="0.25">
      <c r="A1042" t="s">
        <v>15</v>
      </c>
      <c r="B1042" t="s">
        <v>6</v>
      </c>
      <c r="C1042" t="s">
        <v>7</v>
      </c>
      <c r="D1042" t="s">
        <v>484</v>
      </c>
      <c r="E1042" s="2">
        <v>43336.134976851848</v>
      </c>
      <c r="F1042" t="s">
        <v>298</v>
      </c>
      <c r="G1042" t="s">
        <v>318</v>
      </c>
      <c r="H1042" t="s">
        <v>453</v>
      </c>
      <c r="I1042" t="s">
        <v>541</v>
      </c>
      <c r="J1042" t="s">
        <v>542</v>
      </c>
    </row>
    <row r="1043" spans="1:10" hidden="1" x14ac:dyDescent="0.25">
      <c r="A1043" t="s">
        <v>117</v>
      </c>
      <c r="B1043" t="s">
        <v>6</v>
      </c>
      <c r="C1043" t="s">
        <v>7</v>
      </c>
      <c r="D1043" t="s">
        <v>27</v>
      </c>
      <c r="E1043" s="2">
        <v>43336.135034722225</v>
      </c>
      <c r="F1043" t="s">
        <v>299</v>
      </c>
      <c r="G1043" t="s">
        <v>318</v>
      </c>
      <c r="H1043" t="s">
        <v>462</v>
      </c>
      <c r="I1043" t="s">
        <v>492</v>
      </c>
      <c r="J1043" t="s">
        <v>547</v>
      </c>
    </row>
    <row r="1044" spans="1:10" hidden="1" x14ac:dyDescent="0.25">
      <c r="A1044" t="s">
        <v>206</v>
      </c>
      <c r="B1044" t="s">
        <v>6</v>
      </c>
      <c r="C1044" t="s">
        <v>7</v>
      </c>
      <c r="D1044" t="s">
        <v>10</v>
      </c>
      <c r="E1044" s="2">
        <v>43336.135104166664</v>
      </c>
      <c r="F1044" t="s">
        <v>585</v>
      </c>
      <c r="G1044" t="s">
        <v>318</v>
      </c>
      <c r="H1044" t="s">
        <v>459</v>
      </c>
      <c r="I1044" t="s">
        <v>494</v>
      </c>
      <c r="J1044" t="s">
        <v>501</v>
      </c>
    </row>
    <row r="1045" spans="1:10" hidden="1" x14ac:dyDescent="0.25">
      <c r="A1045" t="s">
        <v>88</v>
      </c>
      <c r="B1045" t="s">
        <v>6</v>
      </c>
      <c r="C1045" t="s">
        <v>7</v>
      </c>
      <c r="D1045" t="s">
        <v>476</v>
      </c>
      <c r="E1045" s="2">
        <v>43336.135150462964</v>
      </c>
      <c r="F1045" t="s">
        <v>591</v>
      </c>
      <c r="G1045" t="s">
        <v>318</v>
      </c>
      <c r="H1045" t="s">
        <v>457</v>
      </c>
      <c r="I1045" t="s">
        <v>497</v>
      </c>
      <c r="J1045" t="s">
        <v>497</v>
      </c>
    </row>
    <row r="1046" spans="1:10" hidden="1" x14ac:dyDescent="0.25">
      <c r="A1046" t="s">
        <v>251</v>
      </c>
      <c r="B1046" t="s">
        <v>6</v>
      </c>
      <c r="C1046" t="s">
        <v>7</v>
      </c>
      <c r="D1046" t="s">
        <v>10</v>
      </c>
      <c r="E1046" s="2">
        <v>43336.135231481479</v>
      </c>
      <c r="F1046" t="s">
        <v>300</v>
      </c>
      <c r="G1046" t="s">
        <v>462</v>
      </c>
      <c r="H1046" t="s">
        <v>439</v>
      </c>
      <c r="I1046" t="s">
        <v>494</v>
      </c>
      <c r="J1046" t="s">
        <v>583</v>
      </c>
    </row>
    <row r="1047" spans="1:10" hidden="1" x14ac:dyDescent="0.25">
      <c r="A1047" t="s">
        <v>189</v>
      </c>
      <c r="B1047" t="s">
        <v>6</v>
      </c>
      <c r="C1047" t="s">
        <v>7</v>
      </c>
      <c r="D1047" t="s">
        <v>10</v>
      </c>
      <c r="E1047" s="2">
        <v>43336.135289351849</v>
      </c>
      <c r="F1047" t="s">
        <v>303</v>
      </c>
      <c r="G1047" t="s">
        <v>428</v>
      </c>
      <c r="H1047" t="s">
        <v>434</v>
      </c>
      <c r="I1047" t="s">
        <v>494</v>
      </c>
      <c r="J1047" t="s">
        <v>501</v>
      </c>
    </row>
    <row r="1048" spans="1:10" hidden="1" x14ac:dyDescent="0.25">
      <c r="A1048" t="s">
        <v>327</v>
      </c>
      <c r="B1048" t="s">
        <v>306</v>
      </c>
      <c r="C1048" t="s">
        <v>306</v>
      </c>
      <c r="D1048" t="s">
        <v>307</v>
      </c>
      <c r="E1048" s="2">
        <v>43336.135358796295</v>
      </c>
      <c r="F1048" t="s">
        <v>586</v>
      </c>
      <c r="G1048" t="s">
        <v>318</v>
      </c>
      <c r="H1048" t="s">
        <v>442</v>
      </c>
      <c r="I1048" t="s">
        <v>490</v>
      </c>
      <c r="J1048" t="s">
        <v>491</v>
      </c>
    </row>
    <row r="1049" spans="1:10" hidden="1" x14ac:dyDescent="0.25">
      <c r="A1049" t="s">
        <v>349</v>
      </c>
      <c r="B1049" t="s">
        <v>6</v>
      </c>
      <c r="C1049" t="s">
        <v>7</v>
      </c>
      <c r="D1049" t="s">
        <v>10</v>
      </c>
      <c r="E1049" s="2">
        <v>43336.135393518518</v>
      </c>
      <c r="F1049" t="s">
        <v>587</v>
      </c>
      <c r="G1049" t="s">
        <v>458</v>
      </c>
      <c r="H1049" t="s">
        <v>438</v>
      </c>
      <c r="I1049" t="s">
        <v>575</v>
      </c>
      <c r="J1049" t="s">
        <v>491</v>
      </c>
    </row>
    <row r="1050" spans="1:10" hidden="1" x14ac:dyDescent="0.25">
      <c r="A1050" t="s">
        <v>199</v>
      </c>
      <c r="B1050" t="s">
        <v>6</v>
      </c>
      <c r="C1050" t="s">
        <v>7</v>
      </c>
      <c r="D1050" t="s">
        <v>10</v>
      </c>
      <c r="E1050" s="2">
        <v>43336.135462962964</v>
      </c>
      <c r="F1050" t="s">
        <v>590</v>
      </c>
      <c r="G1050" t="s">
        <v>429</v>
      </c>
      <c r="H1050" t="s">
        <v>444</v>
      </c>
      <c r="I1050" t="s">
        <v>498</v>
      </c>
      <c r="J1050" t="s">
        <v>498</v>
      </c>
    </row>
    <row r="1051" spans="1:10" hidden="1" x14ac:dyDescent="0.25">
      <c r="A1051" t="s">
        <v>159</v>
      </c>
      <c r="B1051" t="s">
        <v>6</v>
      </c>
      <c r="C1051" t="s">
        <v>7</v>
      </c>
      <c r="D1051" t="s">
        <v>10</v>
      </c>
      <c r="E1051" s="2">
        <v>43336.13559027778</v>
      </c>
      <c r="F1051" t="s">
        <v>298</v>
      </c>
      <c r="G1051" t="s">
        <v>318</v>
      </c>
      <c r="H1051" t="s">
        <v>454</v>
      </c>
      <c r="I1051" t="s">
        <v>492</v>
      </c>
      <c r="J1051" t="s">
        <v>493</v>
      </c>
    </row>
    <row r="1052" spans="1:10" hidden="1" x14ac:dyDescent="0.25">
      <c r="A1052" t="s">
        <v>151</v>
      </c>
      <c r="B1052" t="s">
        <v>6</v>
      </c>
      <c r="C1052" t="s">
        <v>7</v>
      </c>
      <c r="D1052" t="s">
        <v>10</v>
      </c>
      <c r="E1052" s="2">
        <v>43336.135671296295</v>
      </c>
      <c r="F1052" t="s">
        <v>299</v>
      </c>
      <c r="G1052" t="s">
        <v>318</v>
      </c>
      <c r="H1052" t="s">
        <v>453</v>
      </c>
      <c r="I1052" t="s">
        <v>492</v>
      </c>
      <c r="J1052" t="s">
        <v>546</v>
      </c>
    </row>
    <row r="1053" spans="1:10" hidden="1" x14ac:dyDescent="0.25">
      <c r="A1053" t="s">
        <v>48</v>
      </c>
      <c r="B1053" t="s">
        <v>6</v>
      </c>
      <c r="C1053" t="s">
        <v>7</v>
      </c>
      <c r="D1053" t="s">
        <v>10</v>
      </c>
      <c r="E1053" s="2">
        <v>43336.135729166665</v>
      </c>
      <c r="F1053" t="s">
        <v>585</v>
      </c>
      <c r="G1053" t="s">
        <v>318</v>
      </c>
      <c r="H1053" t="s">
        <v>460</v>
      </c>
      <c r="I1053" t="s">
        <v>494</v>
      </c>
      <c r="J1053" t="s">
        <v>501</v>
      </c>
    </row>
    <row r="1054" spans="1:10" hidden="1" x14ac:dyDescent="0.25">
      <c r="A1054" t="s">
        <v>96</v>
      </c>
      <c r="B1054" t="s">
        <v>6</v>
      </c>
      <c r="C1054" t="s">
        <v>7</v>
      </c>
      <c r="D1054" t="s">
        <v>13</v>
      </c>
      <c r="E1054" s="2">
        <v>43336.135891203703</v>
      </c>
      <c r="F1054" t="s">
        <v>591</v>
      </c>
      <c r="G1054" t="s">
        <v>318</v>
      </c>
      <c r="H1054" t="s">
        <v>458</v>
      </c>
      <c r="I1054" t="s">
        <v>497</v>
      </c>
      <c r="J1054" t="s">
        <v>497</v>
      </c>
    </row>
    <row r="1055" spans="1:10" hidden="1" x14ac:dyDescent="0.25">
      <c r="A1055" t="s">
        <v>252</v>
      </c>
      <c r="B1055" t="s">
        <v>6</v>
      </c>
      <c r="C1055" t="s">
        <v>7</v>
      </c>
      <c r="D1055" t="s">
        <v>27</v>
      </c>
      <c r="E1055" s="2">
        <v>43336.135972222219</v>
      </c>
      <c r="F1055" t="s">
        <v>300</v>
      </c>
      <c r="G1055" t="s">
        <v>462</v>
      </c>
      <c r="H1055" t="s">
        <v>440</v>
      </c>
      <c r="I1055" t="s">
        <v>494</v>
      </c>
      <c r="J1055" t="s">
        <v>583</v>
      </c>
    </row>
    <row r="1056" spans="1:10" hidden="1" x14ac:dyDescent="0.25">
      <c r="A1056" t="s">
        <v>332</v>
      </c>
      <c r="B1056" t="s">
        <v>6</v>
      </c>
      <c r="C1056" t="s">
        <v>7</v>
      </c>
      <c r="D1056" t="s">
        <v>10</v>
      </c>
      <c r="E1056" s="2">
        <v>43336.136006944442</v>
      </c>
      <c r="F1056" t="s">
        <v>587</v>
      </c>
      <c r="G1056" t="s">
        <v>458</v>
      </c>
      <c r="H1056" t="s">
        <v>439</v>
      </c>
      <c r="I1056" t="s">
        <v>577</v>
      </c>
      <c r="J1056" t="s">
        <v>491</v>
      </c>
    </row>
    <row r="1057" spans="1:10" hidden="1" x14ac:dyDescent="0.25">
      <c r="A1057" t="s">
        <v>211</v>
      </c>
      <c r="B1057" t="s">
        <v>6</v>
      </c>
      <c r="C1057" t="s">
        <v>7</v>
      </c>
      <c r="D1057" t="s">
        <v>27</v>
      </c>
      <c r="E1057" s="2">
        <v>43336.136076388888</v>
      </c>
      <c r="F1057" t="s">
        <v>303</v>
      </c>
      <c r="G1057" t="s">
        <v>428</v>
      </c>
      <c r="H1057" t="s">
        <v>435</v>
      </c>
      <c r="I1057" t="s">
        <v>494</v>
      </c>
      <c r="J1057" t="s">
        <v>501</v>
      </c>
    </row>
    <row r="1058" spans="1:10" hidden="1" x14ac:dyDescent="0.25">
      <c r="A1058" t="s">
        <v>74</v>
      </c>
      <c r="B1058" t="s">
        <v>6</v>
      </c>
      <c r="C1058" t="s">
        <v>7</v>
      </c>
      <c r="D1058" t="s">
        <v>27</v>
      </c>
      <c r="E1058" s="2">
        <v>43336.136250000003</v>
      </c>
      <c r="F1058" t="s">
        <v>590</v>
      </c>
      <c r="G1058" t="s">
        <v>429</v>
      </c>
      <c r="H1058" t="s">
        <v>445</v>
      </c>
      <c r="I1058" t="s">
        <v>498</v>
      </c>
      <c r="J1058" t="s">
        <v>498</v>
      </c>
    </row>
    <row r="1059" spans="1:10" hidden="1" x14ac:dyDescent="0.25">
      <c r="A1059" t="s">
        <v>191</v>
      </c>
      <c r="B1059" t="s">
        <v>6</v>
      </c>
      <c r="C1059" t="s">
        <v>7</v>
      </c>
      <c r="D1059" t="s">
        <v>10</v>
      </c>
      <c r="E1059" s="2">
        <v>43336.136331018519</v>
      </c>
      <c r="F1059" t="s">
        <v>585</v>
      </c>
      <c r="G1059" t="s">
        <v>318</v>
      </c>
      <c r="H1059" t="s">
        <v>461</v>
      </c>
      <c r="I1059" t="s">
        <v>494</v>
      </c>
      <c r="J1059" t="s">
        <v>501</v>
      </c>
    </row>
    <row r="1060" spans="1:10" hidden="1" x14ac:dyDescent="0.25">
      <c r="A1060" t="s">
        <v>108</v>
      </c>
      <c r="B1060" t="s">
        <v>6</v>
      </c>
      <c r="C1060" t="s">
        <v>7</v>
      </c>
      <c r="D1060" t="s">
        <v>27</v>
      </c>
      <c r="E1060" s="2">
        <v>43336.136469907404</v>
      </c>
      <c r="F1060" t="s">
        <v>299</v>
      </c>
      <c r="G1060" t="s">
        <v>318</v>
      </c>
      <c r="H1060" t="s">
        <v>454</v>
      </c>
      <c r="I1060" t="s">
        <v>492</v>
      </c>
      <c r="J1060" t="s">
        <v>546</v>
      </c>
    </row>
    <row r="1061" spans="1:10" hidden="1" x14ac:dyDescent="0.25">
      <c r="A1061" t="s">
        <v>350</v>
      </c>
      <c r="B1061" t="s">
        <v>6</v>
      </c>
      <c r="C1061" t="s">
        <v>7</v>
      </c>
      <c r="D1061" t="s">
        <v>10</v>
      </c>
      <c r="E1061" s="2">
        <v>43336.136608796296</v>
      </c>
      <c r="F1061" t="s">
        <v>587</v>
      </c>
      <c r="G1061" t="s">
        <v>458</v>
      </c>
      <c r="H1061" t="s">
        <v>440</v>
      </c>
      <c r="I1061" t="s">
        <v>576</v>
      </c>
      <c r="J1061" t="s">
        <v>491</v>
      </c>
    </row>
    <row r="1062" spans="1:10" hidden="1" x14ac:dyDescent="0.25">
      <c r="A1062" t="s">
        <v>72</v>
      </c>
      <c r="B1062" t="s">
        <v>6</v>
      </c>
      <c r="C1062" t="s">
        <v>7</v>
      </c>
      <c r="D1062" t="s">
        <v>27</v>
      </c>
      <c r="E1062" s="2">
        <v>43336.136689814812</v>
      </c>
      <c r="F1062" t="s">
        <v>591</v>
      </c>
      <c r="G1062" t="s">
        <v>318</v>
      </c>
      <c r="H1062" t="s">
        <v>459</v>
      </c>
      <c r="I1062" t="s">
        <v>497</v>
      </c>
      <c r="J1062" t="s">
        <v>497</v>
      </c>
    </row>
    <row r="1063" spans="1:10" hidden="1" x14ac:dyDescent="0.25">
      <c r="A1063" t="s">
        <v>253</v>
      </c>
      <c r="B1063" t="s">
        <v>6</v>
      </c>
      <c r="C1063" t="s">
        <v>7</v>
      </c>
      <c r="D1063" t="s">
        <v>27</v>
      </c>
      <c r="E1063" s="2">
        <v>43336.136712962965</v>
      </c>
      <c r="F1063" t="s">
        <v>300</v>
      </c>
      <c r="G1063" t="s">
        <v>462</v>
      </c>
      <c r="H1063" t="s">
        <v>441</v>
      </c>
      <c r="I1063" t="s">
        <v>494</v>
      </c>
      <c r="J1063" t="s">
        <v>583</v>
      </c>
    </row>
    <row r="1064" spans="1:10" hidden="1" x14ac:dyDescent="0.25">
      <c r="A1064" t="s">
        <v>141</v>
      </c>
      <c r="B1064" t="s">
        <v>6</v>
      </c>
      <c r="C1064" t="s">
        <v>7</v>
      </c>
      <c r="D1064" t="s">
        <v>10</v>
      </c>
      <c r="E1064" s="2">
        <v>43336.136724537035</v>
      </c>
      <c r="F1064" t="s">
        <v>303</v>
      </c>
      <c r="G1064" t="s">
        <v>428</v>
      </c>
      <c r="H1064" t="s">
        <v>436</v>
      </c>
      <c r="I1064" t="s">
        <v>494</v>
      </c>
      <c r="J1064" t="s">
        <v>501</v>
      </c>
    </row>
    <row r="1065" spans="1:10" hidden="1" x14ac:dyDescent="0.25">
      <c r="A1065" t="s">
        <v>47</v>
      </c>
      <c r="B1065" t="s">
        <v>6</v>
      </c>
      <c r="C1065" t="s">
        <v>7</v>
      </c>
      <c r="D1065" t="s">
        <v>10</v>
      </c>
      <c r="E1065" s="2">
        <v>43336.136944444443</v>
      </c>
      <c r="F1065" t="s">
        <v>585</v>
      </c>
      <c r="G1065" t="s">
        <v>318</v>
      </c>
      <c r="H1065" t="s">
        <v>462</v>
      </c>
      <c r="I1065" t="s">
        <v>494</v>
      </c>
      <c r="J1065" t="s">
        <v>501</v>
      </c>
    </row>
    <row r="1066" spans="1:10" hidden="1" x14ac:dyDescent="0.25">
      <c r="A1066" t="s">
        <v>166</v>
      </c>
      <c r="B1066" t="s">
        <v>6</v>
      </c>
      <c r="C1066" t="s">
        <v>7</v>
      </c>
      <c r="D1066" t="s">
        <v>8</v>
      </c>
      <c r="E1066" s="2">
        <v>43336.136956018519</v>
      </c>
      <c r="F1066" t="s">
        <v>298</v>
      </c>
      <c r="G1066" t="s">
        <v>318</v>
      </c>
      <c r="H1066" t="s">
        <v>455</v>
      </c>
      <c r="I1066" t="s">
        <v>492</v>
      </c>
      <c r="J1066" t="s">
        <v>493</v>
      </c>
    </row>
    <row r="1067" spans="1:10" hidden="1" x14ac:dyDescent="0.25">
      <c r="A1067" t="s">
        <v>77</v>
      </c>
      <c r="B1067" t="s">
        <v>6</v>
      </c>
      <c r="C1067" t="s">
        <v>7</v>
      </c>
      <c r="D1067" t="s">
        <v>13</v>
      </c>
      <c r="E1067" s="2">
        <v>43336.137002314812</v>
      </c>
      <c r="F1067" t="s">
        <v>590</v>
      </c>
      <c r="G1067" t="s">
        <v>429</v>
      </c>
      <c r="H1067" t="s">
        <v>446</v>
      </c>
      <c r="I1067" t="s">
        <v>498</v>
      </c>
      <c r="J1067" t="s">
        <v>498</v>
      </c>
    </row>
    <row r="1068" spans="1:10" hidden="1" x14ac:dyDescent="0.25">
      <c r="A1068" t="s">
        <v>101</v>
      </c>
      <c r="B1068" t="s">
        <v>6</v>
      </c>
      <c r="C1068" t="s">
        <v>7</v>
      </c>
      <c r="D1068" t="s">
        <v>10</v>
      </c>
      <c r="E1068" s="2">
        <v>43336.137106481481</v>
      </c>
      <c r="F1068" t="s">
        <v>299</v>
      </c>
      <c r="G1068" t="s">
        <v>318</v>
      </c>
      <c r="H1068" t="s">
        <v>455</v>
      </c>
      <c r="I1068" t="s">
        <v>492</v>
      </c>
      <c r="J1068" t="s">
        <v>546</v>
      </c>
    </row>
    <row r="1069" spans="1:10" hidden="1" x14ac:dyDescent="0.25">
      <c r="A1069" t="s">
        <v>127</v>
      </c>
      <c r="B1069" t="s">
        <v>6</v>
      </c>
      <c r="C1069" t="s">
        <v>7</v>
      </c>
      <c r="D1069" t="s">
        <v>10</v>
      </c>
      <c r="E1069" s="2">
        <v>43336.137337962966</v>
      </c>
      <c r="F1069" t="s">
        <v>303</v>
      </c>
      <c r="G1069" t="s">
        <v>428</v>
      </c>
      <c r="H1069" t="s">
        <v>437</v>
      </c>
      <c r="I1069" t="s">
        <v>494</v>
      </c>
      <c r="J1069" t="s">
        <v>501</v>
      </c>
    </row>
    <row r="1070" spans="1:10" hidden="1" x14ac:dyDescent="0.25">
      <c r="A1070" t="s">
        <v>254</v>
      </c>
      <c r="B1070" t="s">
        <v>6</v>
      </c>
      <c r="C1070" t="s">
        <v>7</v>
      </c>
      <c r="D1070" t="s">
        <v>10</v>
      </c>
      <c r="E1070" s="2">
        <v>43336.137337962966</v>
      </c>
      <c r="F1070" t="s">
        <v>300</v>
      </c>
      <c r="G1070" t="s">
        <v>462</v>
      </c>
      <c r="H1070" t="s">
        <v>442</v>
      </c>
      <c r="I1070" t="s">
        <v>494</v>
      </c>
      <c r="J1070" t="s">
        <v>583</v>
      </c>
    </row>
    <row r="1071" spans="1:10" hidden="1" x14ac:dyDescent="0.25">
      <c r="A1071" t="s">
        <v>334</v>
      </c>
      <c r="B1071" t="s">
        <v>6</v>
      </c>
      <c r="C1071" t="s">
        <v>7</v>
      </c>
      <c r="D1071" t="s">
        <v>27</v>
      </c>
      <c r="E1071" s="2">
        <v>43336.137372685182</v>
      </c>
      <c r="F1071" t="s">
        <v>587</v>
      </c>
      <c r="G1071" t="s">
        <v>458</v>
      </c>
      <c r="H1071" t="s">
        <v>441</v>
      </c>
      <c r="I1071" t="s">
        <v>578</v>
      </c>
      <c r="J1071" t="s">
        <v>491</v>
      </c>
    </row>
    <row r="1072" spans="1:10" hidden="1" x14ac:dyDescent="0.25">
      <c r="A1072" t="s">
        <v>122</v>
      </c>
      <c r="B1072" t="s">
        <v>6</v>
      </c>
      <c r="C1072" t="s">
        <v>7</v>
      </c>
      <c r="D1072" t="s">
        <v>13</v>
      </c>
      <c r="E1072" s="2">
        <v>43336.137430555558</v>
      </c>
      <c r="F1072" t="s">
        <v>591</v>
      </c>
      <c r="G1072" t="s">
        <v>318</v>
      </c>
      <c r="H1072" t="s">
        <v>460</v>
      </c>
      <c r="I1072" t="s">
        <v>497</v>
      </c>
      <c r="J1072" t="s">
        <v>497</v>
      </c>
    </row>
    <row r="1073" spans="1:10" hidden="1" x14ac:dyDescent="0.25">
      <c r="A1073" t="s">
        <v>180</v>
      </c>
      <c r="B1073" t="s">
        <v>6</v>
      </c>
      <c r="C1073" t="s">
        <v>7</v>
      </c>
      <c r="D1073" t="s">
        <v>10</v>
      </c>
      <c r="E1073" s="2">
        <v>43336.137546296297</v>
      </c>
      <c r="F1073" t="s">
        <v>298</v>
      </c>
      <c r="G1073" t="s">
        <v>318</v>
      </c>
      <c r="H1073" t="s">
        <v>456</v>
      </c>
      <c r="I1073" t="s">
        <v>492</v>
      </c>
      <c r="J1073" t="s">
        <v>493</v>
      </c>
    </row>
    <row r="1074" spans="1:10" hidden="1" x14ac:dyDescent="0.25">
      <c r="A1074" t="s">
        <v>45</v>
      </c>
      <c r="B1074" t="s">
        <v>6</v>
      </c>
      <c r="C1074" t="s">
        <v>7</v>
      </c>
      <c r="D1074" t="s">
        <v>10</v>
      </c>
      <c r="E1074" s="2">
        <v>43336.137569444443</v>
      </c>
      <c r="F1074" t="s">
        <v>585</v>
      </c>
      <c r="G1074" t="s">
        <v>318</v>
      </c>
      <c r="H1074" t="s">
        <v>453</v>
      </c>
      <c r="I1074" t="s">
        <v>494</v>
      </c>
      <c r="J1074" t="s">
        <v>501</v>
      </c>
    </row>
    <row r="1075" spans="1:10" hidden="1" x14ac:dyDescent="0.25">
      <c r="A1075" t="s">
        <v>26</v>
      </c>
      <c r="B1075" t="s">
        <v>6</v>
      </c>
      <c r="C1075" t="s">
        <v>7</v>
      </c>
      <c r="D1075" t="s">
        <v>13</v>
      </c>
      <c r="E1075" s="2">
        <v>43336.137719907405</v>
      </c>
      <c r="F1075" t="s">
        <v>590</v>
      </c>
      <c r="G1075" t="s">
        <v>429</v>
      </c>
      <c r="H1075" t="s">
        <v>447</v>
      </c>
      <c r="I1075" t="s">
        <v>498</v>
      </c>
      <c r="J1075" t="s">
        <v>498</v>
      </c>
    </row>
    <row r="1076" spans="1:10" hidden="1" x14ac:dyDescent="0.25">
      <c r="A1076" t="s">
        <v>204</v>
      </c>
      <c r="B1076" t="s">
        <v>6</v>
      </c>
      <c r="C1076" t="s">
        <v>7</v>
      </c>
      <c r="D1076" t="s">
        <v>10</v>
      </c>
      <c r="E1076" s="2">
        <v>43336.137743055559</v>
      </c>
      <c r="F1076" t="s">
        <v>299</v>
      </c>
      <c r="G1076" t="s">
        <v>318</v>
      </c>
      <c r="H1076" t="s">
        <v>456</v>
      </c>
      <c r="I1076" t="s">
        <v>492</v>
      </c>
      <c r="J1076" t="s">
        <v>546</v>
      </c>
    </row>
    <row r="1077" spans="1:10" hidden="1" x14ac:dyDescent="0.25">
      <c r="A1077" t="s">
        <v>210</v>
      </c>
      <c r="B1077" t="s">
        <v>6</v>
      </c>
      <c r="C1077" t="s">
        <v>7</v>
      </c>
      <c r="D1077" t="s">
        <v>10</v>
      </c>
      <c r="E1077" s="2">
        <v>43336.137974537036</v>
      </c>
      <c r="F1077" t="s">
        <v>303</v>
      </c>
      <c r="G1077" t="s">
        <v>428</v>
      </c>
      <c r="H1077" t="s">
        <v>438</v>
      </c>
      <c r="I1077" t="s">
        <v>494</v>
      </c>
      <c r="J1077" t="s">
        <v>501</v>
      </c>
    </row>
    <row r="1078" spans="1:10" hidden="1" x14ac:dyDescent="0.25">
      <c r="A1078" t="s">
        <v>351</v>
      </c>
      <c r="B1078" t="s">
        <v>6</v>
      </c>
      <c r="C1078" t="s">
        <v>7</v>
      </c>
      <c r="D1078" t="s">
        <v>10</v>
      </c>
      <c r="E1078" s="2">
        <v>43336.138009259259</v>
      </c>
      <c r="F1078" t="s">
        <v>587</v>
      </c>
      <c r="G1078" t="s">
        <v>458</v>
      </c>
      <c r="H1078" t="s">
        <v>442</v>
      </c>
      <c r="I1078" t="s">
        <v>580</v>
      </c>
      <c r="J1078" t="s">
        <v>491</v>
      </c>
    </row>
    <row r="1079" spans="1:10" hidden="1" x14ac:dyDescent="0.25">
      <c r="A1079" t="s">
        <v>255</v>
      </c>
      <c r="B1079" t="s">
        <v>6</v>
      </c>
      <c r="C1079" t="s">
        <v>7</v>
      </c>
      <c r="D1079" t="s">
        <v>27</v>
      </c>
      <c r="E1079" s="2">
        <v>43336.138067129628</v>
      </c>
      <c r="F1079" t="s">
        <v>300</v>
      </c>
      <c r="G1079" t="s">
        <v>462</v>
      </c>
      <c r="H1079" t="s">
        <v>443</v>
      </c>
      <c r="I1079" t="s">
        <v>494</v>
      </c>
      <c r="J1079" t="s">
        <v>583</v>
      </c>
    </row>
    <row r="1080" spans="1:10" hidden="1" x14ac:dyDescent="0.25">
      <c r="A1080" t="s">
        <v>414</v>
      </c>
      <c r="B1080" t="s">
        <v>306</v>
      </c>
      <c r="C1080" t="s">
        <v>306</v>
      </c>
      <c r="D1080" t="s">
        <v>307</v>
      </c>
      <c r="E1080" s="2">
        <v>43336.138148148151</v>
      </c>
      <c r="F1080" t="s">
        <v>586</v>
      </c>
      <c r="G1080" t="s">
        <v>318</v>
      </c>
      <c r="H1080" t="s">
        <v>443</v>
      </c>
      <c r="I1080" t="s">
        <v>490</v>
      </c>
      <c r="J1080" t="s">
        <v>491</v>
      </c>
    </row>
    <row r="1081" spans="1:10" hidden="1" x14ac:dyDescent="0.25">
      <c r="A1081" t="s">
        <v>160</v>
      </c>
      <c r="B1081" t="s">
        <v>6</v>
      </c>
      <c r="C1081" t="s">
        <v>7</v>
      </c>
      <c r="D1081" t="s">
        <v>10</v>
      </c>
      <c r="E1081" s="2">
        <v>43336.138159722221</v>
      </c>
      <c r="F1081" t="s">
        <v>298</v>
      </c>
      <c r="G1081" t="s">
        <v>318</v>
      </c>
      <c r="H1081" t="s">
        <v>426</v>
      </c>
      <c r="I1081" t="s">
        <v>492</v>
      </c>
      <c r="J1081" t="s">
        <v>493</v>
      </c>
    </row>
    <row r="1082" spans="1:10" hidden="1" x14ac:dyDescent="0.25">
      <c r="A1082" t="s">
        <v>181</v>
      </c>
      <c r="B1082" t="s">
        <v>6</v>
      </c>
      <c r="C1082" t="s">
        <v>7</v>
      </c>
      <c r="D1082" t="s">
        <v>13</v>
      </c>
      <c r="E1082" s="2">
        <v>43336.138182870367</v>
      </c>
      <c r="F1082" t="s">
        <v>591</v>
      </c>
      <c r="G1082" t="s">
        <v>318</v>
      </c>
      <c r="H1082" t="s">
        <v>461</v>
      </c>
      <c r="I1082" t="s">
        <v>497</v>
      </c>
      <c r="J1082" t="s">
        <v>497</v>
      </c>
    </row>
    <row r="1083" spans="1:10" hidden="1" x14ac:dyDescent="0.25">
      <c r="A1083" t="s">
        <v>146</v>
      </c>
      <c r="B1083" t="s">
        <v>6</v>
      </c>
      <c r="C1083" t="s">
        <v>7</v>
      </c>
      <c r="D1083" t="s">
        <v>10</v>
      </c>
      <c r="E1083" s="2">
        <v>43336.138194444444</v>
      </c>
      <c r="F1083" t="s">
        <v>585</v>
      </c>
      <c r="G1083" t="s">
        <v>318</v>
      </c>
      <c r="H1083" t="s">
        <v>454</v>
      </c>
      <c r="I1083" t="s">
        <v>494</v>
      </c>
      <c r="J1083" t="s">
        <v>501</v>
      </c>
    </row>
    <row r="1084" spans="1:10" hidden="1" x14ac:dyDescent="0.25">
      <c r="A1084" t="s">
        <v>281</v>
      </c>
      <c r="B1084" t="s">
        <v>6</v>
      </c>
      <c r="C1084" t="s">
        <v>7</v>
      </c>
      <c r="D1084" t="s">
        <v>10</v>
      </c>
      <c r="E1084" s="2">
        <v>43336.138333333336</v>
      </c>
      <c r="F1084" t="s">
        <v>590</v>
      </c>
      <c r="G1084" t="s">
        <v>429</v>
      </c>
      <c r="H1084" t="s">
        <v>448</v>
      </c>
      <c r="I1084" t="s">
        <v>499</v>
      </c>
      <c r="J1084" t="s">
        <v>497</v>
      </c>
    </row>
    <row r="1085" spans="1:10" hidden="1" x14ac:dyDescent="0.25">
      <c r="A1085" t="s">
        <v>118</v>
      </c>
      <c r="B1085" t="s">
        <v>6</v>
      </c>
      <c r="C1085" t="s">
        <v>7</v>
      </c>
      <c r="D1085" t="s">
        <v>10</v>
      </c>
      <c r="E1085" s="2">
        <v>43336.138379629629</v>
      </c>
      <c r="F1085" t="s">
        <v>299</v>
      </c>
      <c r="G1085" t="s">
        <v>318</v>
      </c>
      <c r="H1085" t="s">
        <v>426</v>
      </c>
      <c r="I1085" t="s">
        <v>492</v>
      </c>
      <c r="J1085" t="s">
        <v>546</v>
      </c>
    </row>
    <row r="1086" spans="1:10" hidden="1" x14ac:dyDescent="0.25">
      <c r="A1086" t="s">
        <v>209</v>
      </c>
      <c r="B1086" t="s">
        <v>6</v>
      </c>
      <c r="C1086" t="s">
        <v>7</v>
      </c>
      <c r="D1086" t="s">
        <v>10</v>
      </c>
      <c r="E1086" s="2">
        <v>43336.13858796296</v>
      </c>
      <c r="F1086" t="s">
        <v>303</v>
      </c>
      <c r="G1086" t="s">
        <v>428</v>
      </c>
      <c r="H1086" t="s">
        <v>439</v>
      </c>
      <c r="I1086" t="s">
        <v>494</v>
      </c>
      <c r="J1086" t="s">
        <v>501</v>
      </c>
    </row>
    <row r="1087" spans="1:10" hidden="1" x14ac:dyDescent="0.25">
      <c r="A1087" t="s">
        <v>244</v>
      </c>
      <c r="B1087" t="s">
        <v>6</v>
      </c>
      <c r="C1087" t="s">
        <v>7</v>
      </c>
      <c r="D1087" t="s">
        <v>10</v>
      </c>
      <c r="E1087" s="2">
        <v>43336.138703703706</v>
      </c>
      <c r="F1087" t="s">
        <v>300</v>
      </c>
      <c r="G1087" t="s">
        <v>462</v>
      </c>
      <c r="H1087" t="s">
        <v>444</v>
      </c>
      <c r="I1087" t="s">
        <v>494</v>
      </c>
      <c r="J1087" t="s">
        <v>583</v>
      </c>
    </row>
    <row r="1088" spans="1:10" hidden="1" x14ac:dyDescent="0.25">
      <c r="A1088" t="s">
        <v>352</v>
      </c>
      <c r="B1088" t="s">
        <v>6</v>
      </c>
      <c r="C1088" t="s">
        <v>7</v>
      </c>
      <c r="D1088" t="s">
        <v>27</v>
      </c>
      <c r="E1088" s="2">
        <v>43336.138749999998</v>
      </c>
      <c r="F1088" t="s">
        <v>587</v>
      </c>
      <c r="G1088" t="s">
        <v>458</v>
      </c>
      <c r="H1088" t="s">
        <v>443</v>
      </c>
      <c r="I1088" t="s">
        <v>579</v>
      </c>
      <c r="J1088" t="s">
        <v>491</v>
      </c>
    </row>
    <row r="1089" spans="1:10" hidden="1" x14ac:dyDescent="0.25">
      <c r="A1089" t="s">
        <v>291</v>
      </c>
      <c r="B1089" t="s">
        <v>6</v>
      </c>
      <c r="C1089" t="s">
        <v>7</v>
      </c>
      <c r="D1089" t="s">
        <v>10</v>
      </c>
      <c r="E1089" s="2">
        <v>43336.138807870368</v>
      </c>
      <c r="F1089" t="s">
        <v>585</v>
      </c>
      <c r="G1089" t="s">
        <v>318</v>
      </c>
      <c r="H1089" t="s">
        <v>455</v>
      </c>
      <c r="I1089" t="s">
        <v>494</v>
      </c>
      <c r="J1089" t="s">
        <v>501</v>
      </c>
    </row>
    <row r="1090" spans="1:10" hidden="1" x14ac:dyDescent="0.25">
      <c r="A1090" t="s">
        <v>80</v>
      </c>
      <c r="B1090" t="s">
        <v>6</v>
      </c>
      <c r="C1090" t="s">
        <v>7</v>
      </c>
      <c r="D1090" t="s">
        <v>476</v>
      </c>
      <c r="E1090" s="2">
        <v>43336.138819444444</v>
      </c>
      <c r="F1090" t="s">
        <v>591</v>
      </c>
      <c r="G1090" t="s">
        <v>318</v>
      </c>
      <c r="H1090" t="s">
        <v>462</v>
      </c>
      <c r="I1090" t="s">
        <v>497</v>
      </c>
      <c r="J1090" t="s">
        <v>497</v>
      </c>
    </row>
    <row r="1091" spans="1:10" hidden="1" x14ac:dyDescent="0.25">
      <c r="A1091" t="s">
        <v>157</v>
      </c>
      <c r="B1091" t="s">
        <v>6</v>
      </c>
      <c r="C1091" t="s">
        <v>7</v>
      </c>
      <c r="D1091" t="s">
        <v>13</v>
      </c>
      <c r="E1091" s="2">
        <v>43336.138842592591</v>
      </c>
      <c r="F1091" t="s">
        <v>298</v>
      </c>
      <c r="G1091" t="s">
        <v>318</v>
      </c>
      <c r="H1091" t="s">
        <v>427</v>
      </c>
      <c r="I1091" t="s">
        <v>13</v>
      </c>
      <c r="J1091" t="s">
        <v>535</v>
      </c>
    </row>
    <row r="1092" spans="1:10" hidden="1" x14ac:dyDescent="0.25">
      <c r="A1092" t="s">
        <v>115</v>
      </c>
      <c r="B1092" t="s">
        <v>6</v>
      </c>
      <c r="C1092" t="s">
        <v>7</v>
      </c>
      <c r="D1092" t="s">
        <v>10</v>
      </c>
      <c r="E1092" s="2">
        <v>43336.13894675926</v>
      </c>
      <c r="F1092" t="s">
        <v>590</v>
      </c>
      <c r="G1092" t="s">
        <v>429</v>
      </c>
      <c r="H1092" t="s">
        <v>449</v>
      </c>
      <c r="I1092" t="s">
        <v>499</v>
      </c>
      <c r="J1092" t="s">
        <v>497</v>
      </c>
    </row>
    <row r="1093" spans="1:10" hidden="1" x14ac:dyDescent="0.25">
      <c r="A1093" t="s">
        <v>79</v>
      </c>
      <c r="B1093" t="s">
        <v>6</v>
      </c>
      <c r="C1093" t="s">
        <v>7</v>
      </c>
      <c r="D1093" t="s">
        <v>27</v>
      </c>
      <c r="E1093" s="2">
        <v>43336.139178240737</v>
      </c>
      <c r="F1093" t="s">
        <v>299</v>
      </c>
      <c r="G1093" t="s">
        <v>318</v>
      </c>
      <c r="H1093" t="s">
        <v>427</v>
      </c>
      <c r="I1093" t="s">
        <v>492</v>
      </c>
      <c r="J1093" t="s">
        <v>546</v>
      </c>
    </row>
    <row r="1094" spans="1:10" hidden="1" x14ac:dyDescent="0.25">
      <c r="A1094" t="s">
        <v>179</v>
      </c>
      <c r="B1094" t="s">
        <v>6</v>
      </c>
      <c r="C1094" t="s">
        <v>7</v>
      </c>
      <c r="D1094" t="s">
        <v>10</v>
      </c>
      <c r="E1094" s="2">
        <v>43336.13921296296</v>
      </c>
      <c r="F1094" t="s">
        <v>303</v>
      </c>
      <c r="G1094" t="s">
        <v>428</v>
      </c>
      <c r="H1094" t="s">
        <v>440</v>
      </c>
      <c r="I1094" t="s">
        <v>494</v>
      </c>
      <c r="J1094" t="s">
        <v>501</v>
      </c>
    </row>
    <row r="1095" spans="1:10" hidden="1" x14ac:dyDescent="0.25">
      <c r="A1095" t="s">
        <v>256</v>
      </c>
      <c r="B1095" t="s">
        <v>6</v>
      </c>
      <c r="C1095" t="s">
        <v>7</v>
      </c>
      <c r="D1095" t="s">
        <v>10</v>
      </c>
      <c r="E1095" s="2">
        <v>43336.139328703706</v>
      </c>
      <c r="F1095" t="s">
        <v>300</v>
      </c>
      <c r="G1095" t="s">
        <v>462</v>
      </c>
      <c r="H1095" t="s">
        <v>445</v>
      </c>
      <c r="I1095" t="s">
        <v>494</v>
      </c>
      <c r="J1095" t="s">
        <v>583</v>
      </c>
    </row>
    <row r="1096" spans="1:10" hidden="1" x14ac:dyDescent="0.25">
      <c r="A1096" t="s">
        <v>353</v>
      </c>
      <c r="B1096" t="s">
        <v>6</v>
      </c>
      <c r="C1096" t="s">
        <v>7</v>
      </c>
      <c r="D1096" t="s">
        <v>10</v>
      </c>
      <c r="E1096" s="2">
        <v>43336.139363425929</v>
      </c>
      <c r="F1096" t="s">
        <v>587</v>
      </c>
      <c r="G1096" t="s">
        <v>458</v>
      </c>
      <c r="H1096" t="s">
        <v>444</v>
      </c>
      <c r="I1096" t="s">
        <v>588</v>
      </c>
      <c r="J1096" t="s">
        <v>491</v>
      </c>
    </row>
    <row r="1097" spans="1:10" hidden="1" x14ac:dyDescent="0.25">
      <c r="A1097" t="s">
        <v>292</v>
      </c>
      <c r="B1097" t="s">
        <v>6</v>
      </c>
      <c r="C1097" t="s">
        <v>7</v>
      </c>
      <c r="D1097" t="s">
        <v>10</v>
      </c>
      <c r="E1097" s="2">
        <v>43336.139421296299</v>
      </c>
      <c r="F1097" t="s">
        <v>585</v>
      </c>
      <c r="G1097" t="s">
        <v>318</v>
      </c>
      <c r="H1097" t="s">
        <v>456</v>
      </c>
      <c r="I1097" t="s">
        <v>494</v>
      </c>
      <c r="J1097" t="s">
        <v>501</v>
      </c>
    </row>
    <row r="1098" spans="1:10" hidden="1" x14ac:dyDescent="0.25">
      <c r="A1098" t="s">
        <v>186</v>
      </c>
      <c r="B1098" t="s">
        <v>6</v>
      </c>
      <c r="C1098" t="s">
        <v>7</v>
      </c>
      <c r="D1098" t="s">
        <v>476</v>
      </c>
      <c r="E1098" s="2">
        <v>43336.139560185184</v>
      </c>
      <c r="F1098" t="s">
        <v>590</v>
      </c>
      <c r="G1098" t="s">
        <v>429</v>
      </c>
      <c r="H1098" t="s">
        <v>450</v>
      </c>
      <c r="I1098" t="s">
        <v>496</v>
      </c>
      <c r="J1098" t="s">
        <v>497</v>
      </c>
    </row>
    <row r="1099" spans="1:10" hidden="1" x14ac:dyDescent="0.25">
      <c r="A1099" t="s">
        <v>395</v>
      </c>
      <c r="B1099" t="s">
        <v>6</v>
      </c>
      <c r="C1099" t="s">
        <v>7</v>
      </c>
      <c r="D1099" t="s">
        <v>13</v>
      </c>
      <c r="E1099" s="2">
        <v>43336.139560185184</v>
      </c>
      <c r="F1099" t="s">
        <v>591</v>
      </c>
      <c r="G1099" t="s">
        <v>318</v>
      </c>
      <c r="H1099" t="s">
        <v>453</v>
      </c>
      <c r="I1099" t="s">
        <v>548</v>
      </c>
      <c r="J1099" t="s">
        <v>549</v>
      </c>
    </row>
    <row r="1100" spans="1:10" hidden="1" x14ac:dyDescent="0.25">
      <c r="A1100" t="s">
        <v>177</v>
      </c>
      <c r="B1100" t="s">
        <v>6</v>
      </c>
      <c r="C1100" t="s">
        <v>7</v>
      </c>
      <c r="D1100" t="s">
        <v>10</v>
      </c>
      <c r="E1100" s="2">
        <v>43336.139861111114</v>
      </c>
      <c r="F1100" t="s">
        <v>303</v>
      </c>
      <c r="G1100" t="s">
        <v>428</v>
      </c>
      <c r="H1100" t="s">
        <v>441</v>
      </c>
      <c r="I1100" t="s">
        <v>494</v>
      </c>
      <c r="J1100" t="s">
        <v>501</v>
      </c>
    </row>
    <row r="1101" spans="1:10" hidden="1" x14ac:dyDescent="0.25">
      <c r="A1101" t="s">
        <v>257</v>
      </c>
      <c r="B1101" t="s">
        <v>6</v>
      </c>
      <c r="C1101" t="s">
        <v>7</v>
      </c>
      <c r="D1101" t="s">
        <v>10</v>
      </c>
      <c r="E1101" s="2">
        <v>43336.13994212963</v>
      </c>
      <c r="F1101" t="s">
        <v>300</v>
      </c>
      <c r="G1101" t="s">
        <v>462</v>
      </c>
      <c r="H1101" t="s">
        <v>446</v>
      </c>
      <c r="I1101" t="s">
        <v>584</v>
      </c>
      <c r="J1101" t="s">
        <v>584</v>
      </c>
    </row>
    <row r="1102" spans="1:10" hidden="1" x14ac:dyDescent="0.25">
      <c r="A1102" t="s">
        <v>103</v>
      </c>
      <c r="B1102" t="s">
        <v>6</v>
      </c>
      <c r="C1102" t="s">
        <v>7</v>
      </c>
      <c r="D1102" t="s">
        <v>27</v>
      </c>
      <c r="E1102" s="2">
        <v>43336.139953703707</v>
      </c>
      <c r="F1102" t="s">
        <v>299</v>
      </c>
      <c r="G1102" t="s">
        <v>318</v>
      </c>
      <c r="H1102" t="s">
        <v>428</v>
      </c>
      <c r="I1102" t="s">
        <v>492</v>
      </c>
      <c r="J1102" t="s">
        <v>546</v>
      </c>
    </row>
    <row r="1103" spans="1:10" hidden="1" x14ac:dyDescent="0.25">
      <c r="A1103" t="s">
        <v>354</v>
      </c>
      <c r="B1103" t="s">
        <v>6</v>
      </c>
      <c r="C1103" t="s">
        <v>7</v>
      </c>
      <c r="D1103" t="s">
        <v>10</v>
      </c>
      <c r="E1103" s="2">
        <v>43336.139976851853</v>
      </c>
      <c r="F1103" t="s">
        <v>587</v>
      </c>
      <c r="G1103" t="s">
        <v>458</v>
      </c>
      <c r="H1103" t="s">
        <v>445</v>
      </c>
      <c r="I1103" t="s">
        <v>539</v>
      </c>
      <c r="J1103" t="s">
        <v>491</v>
      </c>
    </row>
    <row r="1104" spans="1:10" hidden="1" x14ac:dyDescent="0.25">
      <c r="A1104" t="s">
        <v>170</v>
      </c>
      <c r="B1104" t="s">
        <v>6</v>
      </c>
      <c r="C1104" t="s">
        <v>7</v>
      </c>
      <c r="D1104" t="s">
        <v>10</v>
      </c>
      <c r="E1104" s="2">
        <v>43336.140057870369</v>
      </c>
      <c r="F1104" t="s">
        <v>585</v>
      </c>
      <c r="G1104" t="s">
        <v>318</v>
      </c>
      <c r="H1104" t="s">
        <v>426</v>
      </c>
      <c r="I1104" t="s">
        <v>494</v>
      </c>
      <c r="J1104" t="s">
        <v>501</v>
      </c>
    </row>
    <row r="1105" spans="1:10" hidden="1" x14ac:dyDescent="0.25">
      <c r="A1105" t="s">
        <v>46</v>
      </c>
      <c r="B1105" t="s">
        <v>6</v>
      </c>
      <c r="C1105" t="s">
        <v>7</v>
      </c>
      <c r="D1105" t="s">
        <v>476</v>
      </c>
      <c r="E1105" s="2">
        <v>43336.140185185184</v>
      </c>
      <c r="F1105" t="s">
        <v>590</v>
      </c>
      <c r="G1105" t="s">
        <v>429</v>
      </c>
      <c r="H1105" t="s">
        <v>451</v>
      </c>
      <c r="I1105" t="s">
        <v>497</v>
      </c>
      <c r="J1105" t="s">
        <v>497</v>
      </c>
    </row>
    <row r="1106" spans="1:10" hidden="1" x14ac:dyDescent="0.25">
      <c r="A1106" t="s">
        <v>222</v>
      </c>
      <c r="B1106" t="s">
        <v>6</v>
      </c>
      <c r="C1106" t="s">
        <v>7</v>
      </c>
      <c r="D1106" t="s">
        <v>484</v>
      </c>
      <c r="E1106" s="2">
        <v>43336.140243055554</v>
      </c>
      <c r="F1106" t="s">
        <v>298</v>
      </c>
      <c r="G1106" t="s">
        <v>318</v>
      </c>
      <c r="H1106" t="s">
        <v>428</v>
      </c>
      <c r="I1106" t="s">
        <v>13</v>
      </c>
      <c r="J1106" t="s">
        <v>532</v>
      </c>
    </row>
    <row r="1107" spans="1:10" hidden="1" x14ac:dyDescent="0.25">
      <c r="A1107" t="s">
        <v>365</v>
      </c>
      <c r="B1107" t="s">
        <v>6</v>
      </c>
      <c r="C1107" t="s">
        <v>7</v>
      </c>
      <c r="D1107" t="s">
        <v>13</v>
      </c>
      <c r="E1107" s="2">
        <v>43336.140277777777</v>
      </c>
      <c r="F1107" t="s">
        <v>591</v>
      </c>
      <c r="G1107" t="s">
        <v>318</v>
      </c>
      <c r="H1107" t="s">
        <v>454</v>
      </c>
      <c r="I1107" t="s">
        <v>548</v>
      </c>
      <c r="J1107" t="s">
        <v>550</v>
      </c>
    </row>
    <row r="1108" spans="1:10" hidden="1" x14ac:dyDescent="0.25">
      <c r="A1108" t="s">
        <v>287</v>
      </c>
      <c r="B1108" t="s">
        <v>6</v>
      </c>
      <c r="C1108" t="s">
        <v>7</v>
      </c>
      <c r="D1108" t="s">
        <v>27</v>
      </c>
      <c r="E1108" s="2">
        <v>43336.140613425923</v>
      </c>
      <c r="F1108" t="s">
        <v>303</v>
      </c>
      <c r="G1108" t="s">
        <v>428</v>
      </c>
      <c r="H1108" t="s">
        <v>442</v>
      </c>
      <c r="I1108" t="s">
        <v>494</v>
      </c>
      <c r="J1108" t="s">
        <v>501</v>
      </c>
    </row>
    <row r="1109" spans="1:10" hidden="1" x14ac:dyDescent="0.25">
      <c r="A1109" t="s">
        <v>355</v>
      </c>
      <c r="B1109" t="s">
        <v>6</v>
      </c>
      <c r="C1109" t="s">
        <v>7</v>
      </c>
      <c r="D1109" t="s">
        <v>10</v>
      </c>
      <c r="E1109" s="2">
        <v>43336.140648148146</v>
      </c>
      <c r="F1109" t="s">
        <v>587</v>
      </c>
      <c r="G1109" t="s">
        <v>458</v>
      </c>
      <c r="H1109" t="s">
        <v>446</v>
      </c>
      <c r="I1109" t="s">
        <v>538</v>
      </c>
      <c r="J1109" t="s">
        <v>491</v>
      </c>
    </row>
    <row r="1110" spans="1:10" hidden="1" x14ac:dyDescent="0.25">
      <c r="A1110" t="s">
        <v>82</v>
      </c>
      <c r="B1110" t="s">
        <v>6</v>
      </c>
      <c r="C1110" t="s">
        <v>7</v>
      </c>
      <c r="D1110" t="s">
        <v>10</v>
      </c>
      <c r="E1110" s="2">
        <v>43336.1406712963</v>
      </c>
      <c r="F1110" t="s">
        <v>299</v>
      </c>
      <c r="G1110" t="s">
        <v>318</v>
      </c>
      <c r="H1110" t="s">
        <v>429</v>
      </c>
      <c r="I1110" t="s">
        <v>492</v>
      </c>
      <c r="J1110" t="s">
        <v>546</v>
      </c>
    </row>
    <row r="1111" spans="1:10" hidden="1" x14ac:dyDescent="0.25">
      <c r="A1111" t="s">
        <v>293</v>
      </c>
      <c r="B1111" t="s">
        <v>6</v>
      </c>
      <c r="C1111" t="s">
        <v>7</v>
      </c>
      <c r="D1111" t="s">
        <v>10</v>
      </c>
      <c r="E1111" s="2">
        <v>43336.140682870369</v>
      </c>
      <c r="F1111" t="s">
        <v>585</v>
      </c>
      <c r="G1111" t="s">
        <v>318</v>
      </c>
      <c r="H1111" t="s">
        <v>427</v>
      </c>
      <c r="I1111" t="s">
        <v>494</v>
      </c>
      <c r="J1111" t="s">
        <v>501</v>
      </c>
    </row>
    <row r="1112" spans="1:10" hidden="1" x14ac:dyDescent="0.25">
      <c r="A1112" t="s">
        <v>263</v>
      </c>
      <c r="B1112" t="s">
        <v>6</v>
      </c>
      <c r="C1112" t="s">
        <v>7</v>
      </c>
      <c r="D1112" t="s">
        <v>27</v>
      </c>
      <c r="E1112" s="2">
        <v>43336.140775462962</v>
      </c>
      <c r="F1112" t="s">
        <v>300</v>
      </c>
      <c r="G1112" t="s">
        <v>462</v>
      </c>
      <c r="H1112" t="s">
        <v>447</v>
      </c>
      <c r="I1112" t="s">
        <v>584</v>
      </c>
      <c r="J1112" t="s">
        <v>584</v>
      </c>
    </row>
    <row r="1113" spans="1:10" hidden="1" x14ac:dyDescent="0.25">
      <c r="A1113" t="s">
        <v>230</v>
      </c>
      <c r="B1113" t="s">
        <v>6</v>
      </c>
      <c r="C1113" t="s">
        <v>7</v>
      </c>
      <c r="D1113" t="s">
        <v>10</v>
      </c>
      <c r="E1113" s="2">
        <v>43336.140879629631</v>
      </c>
      <c r="F1113" t="s">
        <v>298</v>
      </c>
      <c r="G1113" t="s">
        <v>318</v>
      </c>
      <c r="H1113" t="s">
        <v>429</v>
      </c>
      <c r="I1113" t="s">
        <v>509</v>
      </c>
      <c r="J1113" t="s">
        <v>510</v>
      </c>
    </row>
    <row r="1114" spans="1:10" hidden="1" x14ac:dyDescent="0.25">
      <c r="A1114" t="s">
        <v>208</v>
      </c>
      <c r="B1114" t="s">
        <v>6</v>
      </c>
      <c r="C1114" t="s">
        <v>7</v>
      </c>
      <c r="D1114" t="s">
        <v>27</v>
      </c>
      <c r="E1114" s="2">
        <v>43336.140925925924</v>
      </c>
      <c r="F1114" t="s">
        <v>590</v>
      </c>
      <c r="G1114" t="s">
        <v>429</v>
      </c>
      <c r="H1114" t="s">
        <v>452</v>
      </c>
      <c r="I1114" t="s">
        <v>497</v>
      </c>
      <c r="J1114" t="s">
        <v>497</v>
      </c>
    </row>
    <row r="1115" spans="1:10" hidden="1" x14ac:dyDescent="0.25">
      <c r="A1115" t="s">
        <v>420</v>
      </c>
      <c r="B1115" t="s">
        <v>306</v>
      </c>
      <c r="C1115" t="s">
        <v>306</v>
      </c>
      <c r="D1115" t="s">
        <v>307</v>
      </c>
      <c r="E1115" s="2">
        <v>43336.1409375</v>
      </c>
      <c r="F1115" t="s">
        <v>586</v>
      </c>
      <c r="G1115" t="s">
        <v>318</v>
      </c>
      <c r="H1115" t="s">
        <v>444</v>
      </c>
      <c r="I1115" t="s">
        <v>490</v>
      </c>
      <c r="J1115" t="s">
        <v>491</v>
      </c>
    </row>
    <row r="1116" spans="1:10" hidden="1" x14ac:dyDescent="0.25">
      <c r="A1116" t="s">
        <v>396</v>
      </c>
      <c r="B1116" t="s">
        <v>6</v>
      </c>
      <c r="C1116" t="s">
        <v>7</v>
      </c>
      <c r="D1116" t="s">
        <v>13</v>
      </c>
      <c r="E1116" s="2">
        <v>43336.141018518516</v>
      </c>
      <c r="F1116" t="s">
        <v>591</v>
      </c>
      <c r="G1116" t="s">
        <v>318</v>
      </c>
      <c r="H1116" t="s">
        <v>455</v>
      </c>
      <c r="I1116" t="s">
        <v>548</v>
      </c>
      <c r="J1116" t="s">
        <v>551</v>
      </c>
    </row>
    <row r="1117" spans="1:10" hidden="1" x14ac:dyDescent="0.25">
      <c r="A1117" t="s">
        <v>357</v>
      </c>
      <c r="B1117" t="s">
        <v>6</v>
      </c>
      <c r="C1117" t="s">
        <v>7</v>
      </c>
      <c r="D1117" t="s">
        <v>10</v>
      </c>
      <c r="E1117" s="2">
        <v>43336.141250000001</v>
      </c>
      <c r="F1117" t="s">
        <v>587</v>
      </c>
      <c r="G1117" t="s">
        <v>458</v>
      </c>
      <c r="H1117" t="s">
        <v>447</v>
      </c>
      <c r="I1117" t="s">
        <v>536</v>
      </c>
      <c r="J1117" t="s">
        <v>491</v>
      </c>
    </row>
    <row r="1118" spans="1:10" hidden="1" x14ac:dyDescent="0.25">
      <c r="A1118" t="s">
        <v>185</v>
      </c>
      <c r="B1118" t="s">
        <v>6</v>
      </c>
      <c r="C1118" t="s">
        <v>7</v>
      </c>
      <c r="D1118" t="s">
        <v>10</v>
      </c>
      <c r="E1118" s="2">
        <v>43336.141261574077</v>
      </c>
      <c r="F1118" t="s">
        <v>303</v>
      </c>
      <c r="G1118" t="s">
        <v>428</v>
      </c>
      <c r="H1118" t="s">
        <v>443</v>
      </c>
      <c r="I1118" t="s">
        <v>494</v>
      </c>
      <c r="J1118" t="s">
        <v>501</v>
      </c>
    </row>
    <row r="1119" spans="1:10" hidden="1" x14ac:dyDescent="0.25">
      <c r="A1119" t="s">
        <v>81</v>
      </c>
      <c r="B1119" t="s">
        <v>6</v>
      </c>
      <c r="C1119" t="s">
        <v>7</v>
      </c>
      <c r="D1119" t="s">
        <v>10</v>
      </c>
      <c r="E1119" s="2">
        <v>43336.14130787037</v>
      </c>
      <c r="F1119" t="s">
        <v>299</v>
      </c>
      <c r="G1119" t="s">
        <v>318</v>
      </c>
      <c r="H1119" t="s">
        <v>430</v>
      </c>
      <c r="I1119" t="s">
        <v>533</v>
      </c>
      <c r="J1119" t="s">
        <v>543</v>
      </c>
    </row>
    <row r="1120" spans="1:10" hidden="1" x14ac:dyDescent="0.25">
      <c r="A1120" t="s">
        <v>44</v>
      </c>
      <c r="B1120" t="s">
        <v>6</v>
      </c>
      <c r="C1120" t="s">
        <v>7</v>
      </c>
      <c r="D1120" t="s">
        <v>10</v>
      </c>
      <c r="E1120" s="2">
        <v>43336.141319444447</v>
      </c>
      <c r="F1120" t="s">
        <v>585</v>
      </c>
      <c r="G1120" t="s">
        <v>318</v>
      </c>
      <c r="H1120" t="s">
        <v>428</v>
      </c>
      <c r="I1120" t="s">
        <v>494</v>
      </c>
      <c r="J1120" t="s">
        <v>501</v>
      </c>
    </row>
    <row r="1121" spans="1:10" hidden="1" x14ac:dyDescent="0.25">
      <c r="A1121" t="s">
        <v>226</v>
      </c>
      <c r="B1121" t="s">
        <v>6</v>
      </c>
      <c r="C1121" t="s">
        <v>7</v>
      </c>
      <c r="D1121" t="s">
        <v>10</v>
      </c>
      <c r="E1121" s="2">
        <v>43336.141493055555</v>
      </c>
      <c r="F1121" t="s">
        <v>298</v>
      </c>
      <c r="G1121" t="s">
        <v>318</v>
      </c>
      <c r="H1121" t="s">
        <v>430</v>
      </c>
      <c r="I1121" t="s">
        <v>509</v>
      </c>
      <c r="J1121" t="s">
        <v>510</v>
      </c>
    </row>
    <row r="1122" spans="1:10" hidden="1" x14ac:dyDescent="0.25">
      <c r="A1122" t="s">
        <v>264</v>
      </c>
      <c r="B1122" t="s">
        <v>6</v>
      </c>
      <c r="C1122" t="s">
        <v>7</v>
      </c>
      <c r="D1122" t="s">
        <v>27</v>
      </c>
      <c r="E1122" s="2">
        <v>43336.141516203701</v>
      </c>
      <c r="F1122" t="s">
        <v>300</v>
      </c>
      <c r="G1122" t="s">
        <v>462</v>
      </c>
      <c r="H1122" t="s">
        <v>448</v>
      </c>
      <c r="I1122" t="s">
        <v>584</v>
      </c>
      <c r="J1122" t="s">
        <v>584</v>
      </c>
    </row>
    <row r="1123" spans="1:10" hidden="1" x14ac:dyDescent="0.25">
      <c r="A1123" t="s">
        <v>30</v>
      </c>
      <c r="B1123" t="s">
        <v>6</v>
      </c>
      <c r="C1123" t="s">
        <v>7</v>
      </c>
      <c r="D1123" t="s">
        <v>10</v>
      </c>
      <c r="E1123" s="2">
        <v>43336.141539351855</v>
      </c>
      <c r="F1123" t="s">
        <v>590</v>
      </c>
      <c r="G1123" t="s">
        <v>429</v>
      </c>
      <c r="H1123" t="s">
        <v>318</v>
      </c>
      <c r="I1123" t="s">
        <v>494</v>
      </c>
      <c r="J1123" t="s">
        <v>495</v>
      </c>
    </row>
    <row r="1124" spans="1:10" hidden="1" x14ac:dyDescent="0.25">
      <c r="A1124" t="s">
        <v>340</v>
      </c>
      <c r="B1124" t="s">
        <v>6</v>
      </c>
      <c r="C1124" t="s">
        <v>7</v>
      </c>
      <c r="D1124" t="s">
        <v>476</v>
      </c>
      <c r="E1124" s="2">
        <v>43336.14162037037</v>
      </c>
      <c r="F1124" t="s">
        <v>591</v>
      </c>
      <c r="G1124" t="s">
        <v>318</v>
      </c>
      <c r="H1124" t="s">
        <v>456</v>
      </c>
      <c r="I1124" t="s">
        <v>548</v>
      </c>
      <c r="J1124" t="s">
        <v>552</v>
      </c>
    </row>
    <row r="1125" spans="1:10" hidden="1" x14ac:dyDescent="0.25">
      <c r="A1125" t="s">
        <v>358</v>
      </c>
      <c r="B1125" t="s">
        <v>6</v>
      </c>
      <c r="C1125" t="s">
        <v>7</v>
      </c>
      <c r="D1125" t="s">
        <v>10</v>
      </c>
      <c r="E1125" s="2">
        <v>43336.141875000001</v>
      </c>
      <c r="F1125" t="s">
        <v>587</v>
      </c>
      <c r="G1125" t="s">
        <v>458</v>
      </c>
      <c r="H1125" t="s">
        <v>448</v>
      </c>
      <c r="I1125" t="s">
        <v>534</v>
      </c>
      <c r="J1125" t="s">
        <v>520</v>
      </c>
    </row>
    <row r="1126" spans="1:10" hidden="1" x14ac:dyDescent="0.25">
      <c r="A1126" t="s">
        <v>175</v>
      </c>
      <c r="B1126" t="s">
        <v>6</v>
      </c>
      <c r="C1126" t="s">
        <v>7</v>
      </c>
      <c r="D1126" t="s">
        <v>10</v>
      </c>
      <c r="E1126" s="2">
        <v>43336.141886574071</v>
      </c>
      <c r="F1126" t="s">
        <v>303</v>
      </c>
      <c r="G1126" t="s">
        <v>428</v>
      </c>
      <c r="H1126" t="s">
        <v>444</v>
      </c>
      <c r="I1126" t="s">
        <v>494</v>
      </c>
      <c r="J1126" t="s">
        <v>501</v>
      </c>
    </row>
    <row r="1127" spans="1:10" hidden="1" x14ac:dyDescent="0.25">
      <c r="A1127" t="s">
        <v>153</v>
      </c>
      <c r="B1127" t="s">
        <v>6</v>
      </c>
      <c r="C1127" t="s">
        <v>7</v>
      </c>
      <c r="D1127" t="s">
        <v>10</v>
      </c>
      <c r="E1127" s="2">
        <v>43336.141932870371</v>
      </c>
      <c r="F1127" t="s">
        <v>299</v>
      </c>
      <c r="G1127" t="s">
        <v>318</v>
      </c>
      <c r="H1127" t="s">
        <v>431</v>
      </c>
      <c r="I1127" t="s">
        <v>533</v>
      </c>
      <c r="J1127" t="s">
        <v>543</v>
      </c>
    </row>
    <row r="1128" spans="1:10" hidden="1" x14ac:dyDescent="0.25">
      <c r="A1128" t="s">
        <v>133</v>
      </c>
      <c r="B1128" t="s">
        <v>6</v>
      </c>
      <c r="C1128" t="s">
        <v>7</v>
      </c>
      <c r="D1128" t="s">
        <v>27</v>
      </c>
      <c r="E1128" s="2">
        <v>43336.142071759263</v>
      </c>
      <c r="F1128" t="s">
        <v>585</v>
      </c>
      <c r="G1128" t="s">
        <v>318</v>
      </c>
      <c r="H1128" t="s">
        <v>429</v>
      </c>
      <c r="I1128" t="s">
        <v>494</v>
      </c>
      <c r="J1128" t="s">
        <v>501</v>
      </c>
    </row>
    <row r="1129" spans="1:10" hidden="1" x14ac:dyDescent="0.25">
      <c r="A1129" t="s">
        <v>161</v>
      </c>
      <c r="B1129" t="s">
        <v>6</v>
      </c>
      <c r="C1129" t="s">
        <v>7</v>
      </c>
      <c r="D1129" t="s">
        <v>10</v>
      </c>
      <c r="E1129" s="2">
        <v>43336.142094907409</v>
      </c>
      <c r="F1129" t="s">
        <v>298</v>
      </c>
      <c r="G1129" t="s">
        <v>318</v>
      </c>
      <c r="H1129" t="s">
        <v>431</v>
      </c>
      <c r="I1129" t="s">
        <v>492</v>
      </c>
      <c r="J1129" t="s">
        <v>493</v>
      </c>
    </row>
    <row r="1130" spans="1:10" hidden="1" x14ac:dyDescent="0.25">
      <c r="A1130" t="s">
        <v>29</v>
      </c>
      <c r="B1130" t="s">
        <v>6</v>
      </c>
      <c r="C1130" t="s">
        <v>7</v>
      </c>
      <c r="D1130" t="s">
        <v>476</v>
      </c>
      <c r="E1130" s="2">
        <v>43336.142164351855</v>
      </c>
      <c r="F1130" t="s">
        <v>590</v>
      </c>
      <c r="G1130" t="s">
        <v>429</v>
      </c>
      <c r="H1130" t="s">
        <v>323</v>
      </c>
      <c r="I1130" t="s">
        <v>494</v>
      </c>
      <c r="J1130" t="s">
        <v>497</v>
      </c>
    </row>
    <row r="1131" spans="1:10" hidden="1" x14ac:dyDescent="0.25">
      <c r="A1131" t="s">
        <v>265</v>
      </c>
      <c r="B1131" t="s">
        <v>6</v>
      </c>
      <c r="C1131" t="s">
        <v>7</v>
      </c>
      <c r="D1131" t="s">
        <v>10</v>
      </c>
      <c r="E1131" s="2">
        <v>43336.142233796294</v>
      </c>
      <c r="F1131" t="s">
        <v>300</v>
      </c>
      <c r="G1131" t="s">
        <v>462</v>
      </c>
      <c r="H1131" t="s">
        <v>449</v>
      </c>
      <c r="I1131" t="s">
        <v>584</v>
      </c>
      <c r="J1131" t="s">
        <v>584</v>
      </c>
    </row>
    <row r="1132" spans="1:10" hidden="1" x14ac:dyDescent="0.25">
      <c r="A1132" t="s">
        <v>301</v>
      </c>
      <c r="B1132" t="s">
        <v>6</v>
      </c>
      <c r="C1132" t="s">
        <v>7</v>
      </c>
      <c r="D1132" t="s">
        <v>10</v>
      </c>
      <c r="E1132" s="2">
        <v>43336.142268518517</v>
      </c>
      <c r="F1132" t="s">
        <v>591</v>
      </c>
      <c r="G1132" t="s">
        <v>318</v>
      </c>
      <c r="H1132" t="s">
        <v>426</v>
      </c>
      <c r="I1132" t="s">
        <v>513</v>
      </c>
      <c r="J1132" t="s">
        <v>555</v>
      </c>
    </row>
    <row r="1133" spans="1:10" hidden="1" x14ac:dyDescent="0.25">
      <c r="A1133" t="s">
        <v>288</v>
      </c>
      <c r="B1133" t="s">
        <v>6</v>
      </c>
      <c r="C1133" t="s">
        <v>7</v>
      </c>
      <c r="D1133" t="s">
        <v>10</v>
      </c>
      <c r="E1133" s="2">
        <v>43336.142511574071</v>
      </c>
      <c r="F1133" t="s">
        <v>303</v>
      </c>
      <c r="G1133" t="s">
        <v>428</v>
      </c>
      <c r="H1133" t="s">
        <v>445</v>
      </c>
      <c r="I1133" t="s">
        <v>494</v>
      </c>
      <c r="J1133" t="s">
        <v>501</v>
      </c>
    </row>
    <row r="1134" spans="1:10" hidden="1" x14ac:dyDescent="0.25">
      <c r="A1134" t="s">
        <v>99</v>
      </c>
      <c r="B1134" t="s">
        <v>6</v>
      </c>
      <c r="C1134" t="s">
        <v>7</v>
      </c>
      <c r="D1134" t="s">
        <v>10</v>
      </c>
      <c r="E1134" s="2">
        <v>43336.142546296294</v>
      </c>
      <c r="F1134" t="s">
        <v>299</v>
      </c>
      <c r="G1134" t="s">
        <v>318</v>
      </c>
      <c r="H1134" t="s">
        <v>432</v>
      </c>
      <c r="I1134" t="s">
        <v>533</v>
      </c>
      <c r="J1134" t="s">
        <v>543</v>
      </c>
    </row>
    <row r="1135" spans="1:10" hidden="1" x14ac:dyDescent="0.25">
      <c r="A1135" t="s">
        <v>382</v>
      </c>
      <c r="B1135" t="s">
        <v>6</v>
      </c>
      <c r="C1135" t="s">
        <v>7</v>
      </c>
      <c r="D1135" t="s">
        <v>27</v>
      </c>
      <c r="E1135" s="2">
        <v>43336.14261574074</v>
      </c>
      <c r="F1135" t="s">
        <v>587</v>
      </c>
      <c r="G1135" t="s">
        <v>458</v>
      </c>
      <c r="H1135" t="s">
        <v>449</v>
      </c>
      <c r="I1135" t="s">
        <v>531</v>
      </c>
      <c r="J1135" t="s">
        <v>520</v>
      </c>
    </row>
    <row r="1136" spans="1:10" hidden="1" x14ac:dyDescent="0.25">
      <c r="A1136" t="s">
        <v>124</v>
      </c>
      <c r="B1136" t="s">
        <v>6</v>
      </c>
      <c r="C1136" t="s">
        <v>7</v>
      </c>
      <c r="D1136" t="s">
        <v>10</v>
      </c>
      <c r="E1136" s="2">
        <v>43336.142685185187</v>
      </c>
      <c r="F1136" t="s">
        <v>585</v>
      </c>
      <c r="G1136" t="s">
        <v>318</v>
      </c>
      <c r="H1136" t="s">
        <v>430</v>
      </c>
      <c r="I1136" t="s">
        <v>494</v>
      </c>
      <c r="J1136" t="s">
        <v>501</v>
      </c>
    </row>
    <row r="1137" spans="1:10" hidden="1" x14ac:dyDescent="0.25">
      <c r="A1137" t="s">
        <v>228</v>
      </c>
      <c r="B1137" t="s">
        <v>6</v>
      </c>
      <c r="C1137" t="s">
        <v>7</v>
      </c>
      <c r="D1137" t="s">
        <v>10</v>
      </c>
      <c r="E1137" s="2">
        <v>43336.142696759256</v>
      </c>
      <c r="F1137" t="s">
        <v>298</v>
      </c>
      <c r="G1137" t="s">
        <v>318</v>
      </c>
      <c r="H1137" t="s">
        <v>432</v>
      </c>
      <c r="I1137" t="s">
        <v>509</v>
      </c>
      <c r="J1137" t="s">
        <v>523</v>
      </c>
    </row>
    <row r="1138" spans="1:10" hidden="1" x14ac:dyDescent="0.25">
      <c r="A1138" t="s">
        <v>28</v>
      </c>
      <c r="B1138" t="s">
        <v>6</v>
      </c>
      <c r="C1138" t="s">
        <v>7</v>
      </c>
      <c r="D1138" t="s">
        <v>476</v>
      </c>
      <c r="E1138" s="2">
        <v>43336.142800925925</v>
      </c>
      <c r="F1138" t="s">
        <v>590</v>
      </c>
      <c r="G1138" t="s">
        <v>429</v>
      </c>
      <c r="H1138" t="s">
        <v>385</v>
      </c>
      <c r="I1138" t="s">
        <v>494</v>
      </c>
      <c r="J1138" t="s">
        <v>497</v>
      </c>
    </row>
    <row r="1139" spans="1:10" hidden="1" x14ac:dyDescent="0.25">
      <c r="A1139" t="s">
        <v>266</v>
      </c>
      <c r="B1139" t="s">
        <v>6</v>
      </c>
      <c r="C1139" t="s">
        <v>7</v>
      </c>
      <c r="D1139" t="s">
        <v>10</v>
      </c>
      <c r="E1139" s="2">
        <v>43336.142870370371</v>
      </c>
      <c r="F1139" t="s">
        <v>300</v>
      </c>
      <c r="G1139" t="s">
        <v>462</v>
      </c>
      <c r="H1139" t="s">
        <v>450</v>
      </c>
      <c r="I1139" t="s">
        <v>584</v>
      </c>
      <c r="J1139" t="s">
        <v>584</v>
      </c>
    </row>
    <row r="1140" spans="1:10" hidden="1" x14ac:dyDescent="0.25">
      <c r="A1140" t="s">
        <v>378</v>
      </c>
      <c r="B1140" t="s">
        <v>6</v>
      </c>
      <c r="C1140" t="s">
        <v>7</v>
      </c>
      <c r="D1140" t="s">
        <v>10</v>
      </c>
      <c r="E1140" s="2">
        <v>43336.142870370371</v>
      </c>
      <c r="F1140" t="s">
        <v>591</v>
      </c>
      <c r="G1140" t="s">
        <v>318</v>
      </c>
      <c r="H1140" t="s">
        <v>427</v>
      </c>
      <c r="I1140" t="s">
        <v>554</v>
      </c>
      <c r="J1140" t="s">
        <v>556</v>
      </c>
    </row>
    <row r="1141" spans="1:10" hidden="1" x14ac:dyDescent="0.25">
      <c r="A1141" t="s">
        <v>139</v>
      </c>
      <c r="B1141" t="s">
        <v>6</v>
      </c>
      <c r="C1141" t="s">
        <v>7</v>
      </c>
      <c r="D1141" t="s">
        <v>10</v>
      </c>
      <c r="E1141" s="2">
        <v>43336.143136574072</v>
      </c>
      <c r="F1141" t="s">
        <v>303</v>
      </c>
      <c r="G1141" t="s">
        <v>428</v>
      </c>
      <c r="H1141" t="s">
        <v>446</v>
      </c>
      <c r="I1141" t="s">
        <v>494</v>
      </c>
      <c r="J1141" t="s">
        <v>501</v>
      </c>
    </row>
    <row r="1142" spans="1:10" hidden="1" x14ac:dyDescent="0.25">
      <c r="A1142" t="s">
        <v>43</v>
      </c>
      <c r="B1142" t="s">
        <v>6</v>
      </c>
      <c r="C1142" t="s">
        <v>7</v>
      </c>
      <c r="D1142" t="s">
        <v>10</v>
      </c>
      <c r="E1142" s="2">
        <v>43336.143310185187</v>
      </c>
      <c r="F1142" t="s">
        <v>585</v>
      </c>
      <c r="G1142" t="s">
        <v>318</v>
      </c>
      <c r="H1142" t="s">
        <v>431</v>
      </c>
      <c r="I1142" t="s">
        <v>494</v>
      </c>
      <c r="J1142" t="s">
        <v>501</v>
      </c>
    </row>
    <row r="1143" spans="1:10" hidden="1" x14ac:dyDescent="0.25">
      <c r="A1143" t="s">
        <v>87</v>
      </c>
      <c r="B1143" t="s">
        <v>6</v>
      </c>
      <c r="C1143" t="s">
        <v>7</v>
      </c>
      <c r="D1143" t="s">
        <v>10</v>
      </c>
      <c r="E1143" s="2">
        <v>43336.143310185187</v>
      </c>
      <c r="F1143" t="s">
        <v>298</v>
      </c>
      <c r="G1143" t="s">
        <v>318</v>
      </c>
      <c r="H1143" t="s">
        <v>433</v>
      </c>
      <c r="I1143" t="s">
        <v>492</v>
      </c>
      <c r="J1143" t="s">
        <v>521</v>
      </c>
    </row>
    <row r="1144" spans="1:10" hidden="1" x14ac:dyDescent="0.25">
      <c r="A1144" t="s">
        <v>155</v>
      </c>
      <c r="B1144" t="s">
        <v>6</v>
      </c>
      <c r="C1144" t="s">
        <v>7</v>
      </c>
      <c r="D1144" t="s">
        <v>27</v>
      </c>
      <c r="E1144" s="2">
        <v>43336.143333333333</v>
      </c>
      <c r="F1144" t="s">
        <v>299</v>
      </c>
      <c r="G1144" t="s">
        <v>318</v>
      </c>
      <c r="H1144" t="s">
        <v>433</v>
      </c>
      <c r="I1144" t="s">
        <v>553</v>
      </c>
      <c r="J1144" t="s">
        <v>497</v>
      </c>
    </row>
    <row r="1145" spans="1:10" hidden="1" x14ac:dyDescent="0.25">
      <c r="A1145" t="s">
        <v>481</v>
      </c>
      <c r="B1145" t="s">
        <v>6</v>
      </c>
      <c r="C1145" t="s">
        <v>7</v>
      </c>
      <c r="D1145" t="s">
        <v>27</v>
      </c>
      <c r="E1145" s="2">
        <v>43336.143368055556</v>
      </c>
      <c r="F1145" t="s">
        <v>587</v>
      </c>
      <c r="G1145" t="s">
        <v>458</v>
      </c>
      <c r="H1145" t="s">
        <v>450</v>
      </c>
      <c r="I1145" t="s">
        <v>530</v>
      </c>
      <c r="J1145" t="s">
        <v>520</v>
      </c>
    </row>
    <row r="1146" spans="1:10" hidden="1" x14ac:dyDescent="0.25">
      <c r="A1146" t="s">
        <v>25</v>
      </c>
      <c r="B1146" t="s">
        <v>6</v>
      </c>
      <c r="C1146" t="s">
        <v>7</v>
      </c>
      <c r="D1146" t="s">
        <v>476</v>
      </c>
      <c r="E1146" s="2">
        <v>43336.143425925926</v>
      </c>
      <c r="F1146" t="s">
        <v>590</v>
      </c>
      <c r="G1146" t="s">
        <v>429</v>
      </c>
      <c r="H1146" t="s">
        <v>457</v>
      </c>
      <c r="I1146" t="s">
        <v>494</v>
      </c>
      <c r="J1146" t="s">
        <v>497</v>
      </c>
    </row>
    <row r="1147" spans="1:10" hidden="1" x14ac:dyDescent="0.25">
      <c r="A1147" t="s">
        <v>242</v>
      </c>
      <c r="B1147" t="s">
        <v>6</v>
      </c>
      <c r="C1147" t="s">
        <v>7</v>
      </c>
      <c r="D1147" t="s">
        <v>10</v>
      </c>
      <c r="E1147" s="2">
        <v>43336.143495370372</v>
      </c>
      <c r="F1147" t="s">
        <v>300</v>
      </c>
      <c r="G1147" t="s">
        <v>462</v>
      </c>
      <c r="H1147" t="s">
        <v>451</v>
      </c>
      <c r="I1147" t="s">
        <v>498</v>
      </c>
      <c r="J1147" t="s">
        <v>498</v>
      </c>
    </row>
    <row r="1148" spans="1:10" hidden="1" x14ac:dyDescent="0.25">
      <c r="A1148" t="s">
        <v>324</v>
      </c>
      <c r="B1148" t="s">
        <v>6</v>
      </c>
      <c r="C1148" t="s">
        <v>7</v>
      </c>
      <c r="D1148" t="s">
        <v>27</v>
      </c>
      <c r="E1148" s="2">
        <v>43336.143634259257</v>
      </c>
      <c r="F1148" t="s">
        <v>591</v>
      </c>
      <c r="G1148" t="s">
        <v>318</v>
      </c>
      <c r="H1148" t="s">
        <v>428</v>
      </c>
      <c r="I1148" t="s">
        <v>554</v>
      </c>
      <c r="J1148" t="s">
        <v>556</v>
      </c>
    </row>
    <row r="1149" spans="1:10" hidden="1" x14ac:dyDescent="0.25">
      <c r="A1149" t="s">
        <v>421</v>
      </c>
      <c r="B1149" t="s">
        <v>306</v>
      </c>
      <c r="C1149" t="s">
        <v>306</v>
      </c>
      <c r="D1149" t="s">
        <v>307</v>
      </c>
      <c r="E1149" s="2">
        <v>43336.143726851849</v>
      </c>
      <c r="F1149" t="s">
        <v>586</v>
      </c>
      <c r="G1149" t="s">
        <v>318</v>
      </c>
      <c r="H1149" t="s">
        <v>445</v>
      </c>
      <c r="I1149" t="s">
        <v>490</v>
      </c>
      <c r="J1149" t="s">
        <v>491</v>
      </c>
    </row>
    <row r="1150" spans="1:10" hidden="1" x14ac:dyDescent="0.25">
      <c r="A1150" t="s">
        <v>289</v>
      </c>
      <c r="B1150" t="s">
        <v>6</v>
      </c>
      <c r="C1150" t="s">
        <v>7</v>
      </c>
      <c r="D1150" t="s">
        <v>27</v>
      </c>
      <c r="E1150" s="2">
        <v>43336.143865740742</v>
      </c>
      <c r="F1150" t="s">
        <v>303</v>
      </c>
      <c r="G1150" t="s">
        <v>428</v>
      </c>
      <c r="H1150" t="s">
        <v>447</v>
      </c>
      <c r="I1150" t="s">
        <v>494</v>
      </c>
      <c r="J1150" t="s">
        <v>501</v>
      </c>
    </row>
    <row r="1151" spans="1:10" hidden="1" x14ac:dyDescent="0.25">
      <c r="A1151" t="s">
        <v>42</v>
      </c>
      <c r="B1151" t="s">
        <v>6</v>
      </c>
      <c r="C1151" t="s">
        <v>7</v>
      </c>
      <c r="D1151" t="s">
        <v>10</v>
      </c>
      <c r="E1151" s="2">
        <v>43336.143912037034</v>
      </c>
      <c r="F1151" t="s">
        <v>585</v>
      </c>
      <c r="G1151" t="s">
        <v>318</v>
      </c>
      <c r="H1151" t="s">
        <v>432</v>
      </c>
      <c r="I1151" t="s">
        <v>494</v>
      </c>
      <c r="J1151" t="s">
        <v>501</v>
      </c>
    </row>
    <row r="1152" spans="1:10" hidden="1" x14ac:dyDescent="0.25">
      <c r="A1152" t="s">
        <v>120</v>
      </c>
      <c r="B1152" t="s">
        <v>6</v>
      </c>
      <c r="C1152" t="s">
        <v>219</v>
      </c>
      <c r="D1152" t="s">
        <v>476</v>
      </c>
      <c r="E1152" s="2">
        <v>43336.143958333334</v>
      </c>
      <c r="F1152" t="s">
        <v>299</v>
      </c>
      <c r="G1152" t="s">
        <v>318</v>
      </c>
      <c r="H1152" t="s">
        <v>434</v>
      </c>
      <c r="I1152" t="s">
        <v>553</v>
      </c>
      <c r="J1152" t="s">
        <v>497</v>
      </c>
    </row>
    <row r="1153" spans="1:10" hidden="1" x14ac:dyDescent="0.25">
      <c r="A1153" t="s">
        <v>480</v>
      </c>
      <c r="B1153" t="s">
        <v>6</v>
      </c>
      <c r="C1153" t="s">
        <v>7</v>
      </c>
      <c r="D1153" t="s">
        <v>10</v>
      </c>
      <c r="E1153" s="2">
        <v>43336.14398148148</v>
      </c>
      <c r="F1153" t="s">
        <v>587</v>
      </c>
      <c r="G1153" t="s">
        <v>458</v>
      </c>
      <c r="H1153" t="s">
        <v>451</v>
      </c>
      <c r="I1153" t="s">
        <v>527</v>
      </c>
      <c r="J1153" t="s">
        <v>520</v>
      </c>
    </row>
    <row r="1154" spans="1:10" hidden="1" x14ac:dyDescent="0.25">
      <c r="A1154" t="s">
        <v>24</v>
      </c>
      <c r="B1154" t="s">
        <v>6</v>
      </c>
      <c r="C1154" t="s">
        <v>7</v>
      </c>
      <c r="D1154" t="s">
        <v>476</v>
      </c>
      <c r="E1154" s="2">
        <v>43336.144050925926</v>
      </c>
      <c r="F1154" t="s">
        <v>590</v>
      </c>
      <c r="G1154" t="s">
        <v>429</v>
      </c>
      <c r="H1154" t="s">
        <v>458</v>
      </c>
      <c r="I1154" t="s">
        <v>494</v>
      </c>
      <c r="J1154" t="s">
        <v>497</v>
      </c>
    </row>
    <row r="1155" spans="1:10" hidden="1" x14ac:dyDescent="0.25">
      <c r="A1155" t="s">
        <v>267</v>
      </c>
      <c r="B1155" t="s">
        <v>6</v>
      </c>
      <c r="C1155" t="s">
        <v>7</v>
      </c>
      <c r="D1155" t="s">
        <v>27</v>
      </c>
      <c r="E1155" s="2">
        <v>43336.144236111111</v>
      </c>
      <c r="F1155" t="s">
        <v>300</v>
      </c>
      <c r="G1155" t="s">
        <v>462</v>
      </c>
      <c r="H1155" t="s">
        <v>452</v>
      </c>
      <c r="I1155" t="s">
        <v>498</v>
      </c>
      <c r="J1155" t="s">
        <v>498</v>
      </c>
    </row>
    <row r="1156" spans="1:10" hidden="1" x14ac:dyDescent="0.25">
      <c r="A1156" t="s">
        <v>325</v>
      </c>
      <c r="B1156" t="s">
        <v>6</v>
      </c>
      <c r="C1156" t="s">
        <v>7</v>
      </c>
      <c r="D1156" t="s">
        <v>10</v>
      </c>
      <c r="E1156" s="2">
        <v>43336.144247685188</v>
      </c>
      <c r="F1156" t="s">
        <v>591</v>
      </c>
      <c r="G1156" t="s">
        <v>318</v>
      </c>
      <c r="H1156" t="s">
        <v>429</v>
      </c>
      <c r="I1156" t="s">
        <v>554</v>
      </c>
      <c r="J1156" t="s">
        <v>556</v>
      </c>
    </row>
    <row r="1157" spans="1:10" hidden="1" x14ac:dyDescent="0.25">
      <c r="A1157" t="s">
        <v>174</v>
      </c>
      <c r="B1157" t="s">
        <v>6</v>
      </c>
      <c r="C1157" t="s">
        <v>7</v>
      </c>
      <c r="D1157" t="s">
        <v>10</v>
      </c>
      <c r="E1157" s="2">
        <v>43336.144502314812</v>
      </c>
      <c r="F1157" t="s">
        <v>303</v>
      </c>
      <c r="G1157" t="s">
        <v>428</v>
      </c>
      <c r="H1157" t="s">
        <v>448</v>
      </c>
      <c r="I1157" t="s">
        <v>494</v>
      </c>
      <c r="J1157" t="s">
        <v>501</v>
      </c>
    </row>
    <row r="1158" spans="1:10" hidden="1" x14ac:dyDescent="0.25">
      <c r="A1158" t="s">
        <v>234</v>
      </c>
      <c r="B1158" t="s">
        <v>6</v>
      </c>
      <c r="C1158" t="s">
        <v>7</v>
      </c>
      <c r="D1158" t="s">
        <v>10</v>
      </c>
      <c r="E1158" s="2">
        <v>43336.144525462965</v>
      </c>
      <c r="F1158" t="s">
        <v>585</v>
      </c>
      <c r="G1158" t="s">
        <v>318</v>
      </c>
      <c r="H1158" t="s">
        <v>433</v>
      </c>
      <c r="I1158" t="s">
        <v>494</v>
      </c>
      <c r="J1158" t="s">
        <v>501</v>
      </c>
    </row>
    <row r="1159" spans="1:10" hidden="1" x14ac:dyDescent="0.25">
      <c r="A1159" t="s">
        <v>94</v>
      </c>
      <c r="B1159" t="s">
        <v>6</v>
      </c>
      <c r="C1159" t="s">
        <v>7</v>
      </c>
      <c r="D1159" t="s">
        <v>10</v>
      </c>
      <c r="E1159" s="2">
        <v>43336.144594907404</v>
      </c>
      <c r="F1159" t="s">
        <v>299</v>
      </c>
      <c r="G1159" t="s">
        <v>318</v>
      </c>
      <c r="H1159" t="s">
        <v>435</v>
      </c>
      <c r="I1159" t="s">
        <v>492</v>
      </c>
      <c r="J1159" t="s">
        <v>546</v>
      </c>
    </row>
    <row r="1160" spans="1:10" hidden="1" x14ac:dyDescent="0.25">
      <c r="A1160" t="s">
        <v>486</v>
      </c>
      <c r="B1160" t="s">
        <v>6</v>
      </c>
      <c r="C1160" t="s">
        <v>7</v>
      </c>
      <c r="D1160" t="s">
        <v>10</v>
      </c>
      <c r="E1160" s="2">
        <v>43336.144594907404</v>
      </c>
      <c r="F1160" t="s">
        <v>587</v>
      </c>
      <c r="G1160" t="s">
        <v>458</v>
      </c>
      <c r="H1160" t="s">
        <v>452</v>
      </c>
      <c r="I1160" t="s">
        <v>524</v>
      </c>
      <c r="J1160" t="s">
        <v>520</v>
      </c>
    </row>
    <row r="1161" spans="1:10" hidden="1" x14ac:dyDescent="0.25">
      <c r="A1161" t="s">
        <v>220</v>
      </c>
      <c r="B1161" t="s">
        <v>6</v>
      </c>
      <c r="C1161" t="s">
        <v>7</v>
      </c>
      <c r="D1161" t="s">
        <v>484</v>
      </c>
      <c r="E1161" s="2">
        <v>43336.144699074073</v>
      </c>
      <c r="F1161" t="s">
        <v>298</v>
      </c>
      <c r="G1161" t="s">
        <v>318</v>
      </c>
      <c r="H1161" t="s">
        <v>434</v>
      </c>
      <c r="I1161" t="s">
        <v>509</v>
      </c>
      <c r="J1161" t="s">
        <v>510</v>
      </c>
    </row>
    <row r="1162" spans="1:10" hidden="1" x14ac:dyDescent="0.25">
      <c r="A1162" t="s">
        <v>238</v>
      </c>
      <c r="B1162" t="s">
        <v>6</v>
      </c>
      <c r="C1162" t="s">
        <v>7</v>
      </c>
      <c r="D1162" t="s">
        <v>27</v>
      </c>
      <c r="E1162" s="2">
        <v>43336.144780092596</v>
      </c>
      <c r="F1162" t="s">
        <v>590</v>
      </c>
      <c r="G1162" t="s">
        <v>429</v>
      </c>
      <c r="H1162" t="s">
        <v>459</v>
      </c>
      <c r="I1162" t="s">
        <v>494</v>
      </c>
      <c r="J1162" t="s">
        <v>497</v>
      </c>
    </row>
    <row r="1163" spans="1:10" hidden="1" x14ac:dyDescent="0.25">
      <c r="A1163" t="s">
        <v>55</v>
      </c>
      <c r="B1163" t="s">
        <v>6</v>
      </c>
      <c r="C1163" t="s">
        <v>7</v>
      </c>
      <c r="D1163" t="s">
        <v>10</v>
      </c>
      <c r="E1163" s="2">
        <v>43336.144861111112</v>
      </c>
      <c r="F1163" t="s">
        <v>300</v>
      </c>
      <c r="G1163" t="s">
        <v>462</v>
      </c>
      <c r="H1163" t="s">
        <v>318</v>
      </c>
      <c r="I1163" t="s">
        <v>558</v>
      </c>
      <c r="J1163" t="s">
        <v>562</v>
      </c>
    </row>
    <row r="1164" spans="1:10" hidden="1" x14ac:dyDescent="0.25">
      <c r="A1164" t="s">
        <v>366</v>
      </c>
      <c r="B1164" t="s">
        <v>6</v>
      </c>
      <c r="C1164" t="s">
        <v>7</v>
      </c>
      <c r="D1164" t="s">
        <v>13</v>
      </c>
      <c r="E1164" s="2">
        <v>43336.144965277781</v>
      </c>
      <c r="F1164" t="s">
        <v>591</v>
      </c>
      <c r="G1164" t="s">
        <v>318</v>
      </c>
      <c r="H1164" t="s">
        <v>430</v>
      </c>
      <c r="I1164" t="s">
        <v>554</v>
      </c>
      <c r="J1164" t="s">
        <v>556</v>
      </c>
    </row>
    <row r="1165" spans="1:10" hidden="1" x14ac:dyDescent="0.25">
      <c r="A1165" t="s">
        <v>91</v>
      </c>
      <c r="B1165" t="s">
        <v>6</v>
      </c>
      <c r="C1165" t="s">
        <v>7</v>
      </c>
      <c r="D1165" t="s">
        <v>10</v>
      </c>
      <c r="E1165" s="2">
        <v>43336.145277777781</v>
      </c>
      <c r="F1165" t="s">
        <v>299</v>
      </c>
      <c r="G1165" t="s">
        <v>318</v>
      </c>
      <c r="H1165" t="s">
        <v>436</v>
      </c>
      <c r="I1165" t="s">
        <v>492</v>
      </c>
      <c r="J1165" t="s">
        <v>546</v>
      </c>
    </row>
    <row r="1166" spans="1:10" hidden="1" x14ac:dyDescent="0.25">
      <c r="A1166" t="s">
        <v>290</v>
      </c>
      <c r="B1166" t="s">
        <v>6</v>
      </c>
      <c r="C1166" t="s">
        <v>7</v>
      </c>
      <c r="D1166" t="s">
        <v>27</v>
      </c>
      <c r="E1166" s="2">
        <v>43336.145370370374</v>
      </c>
      <c r="F1166" t="s">
        <v>303</v>
      </c>
      <c r="G1166" t="s">
        <v>428</v>
      </c>
      <c r="H1166" t="s">
        <v>449</v>
      </c>
      <c r="I1166" t="s">
        <v>494</v>
      </c>
      <c r="J1166" t="s">
        <v>501</v>
      </c>
    </row>
    <row r="1167" spans="1:10" hidden="1" x14ac:dyDescent="0.25">
      <c r="A1167" t="s">
        <v>387</v>
      </c>
      <c r="B1167" t="s">
        <v>6</v>
      </c>
      <c r="C1167" t="s">
        <v>7</v>
      </c>
      <c r="D1167" t="s">
        <v>27</v>
      </c>
      <c r="E1167" s="2">
        <v>43336.145370370374</v>
      </c>
      <c r="F1167" t="s">
        <v>587</v>
      </c>
      <c r="G1167" t="s">
        <v>458</v>
      </c>
      <c r="H1167" t="s">
        <v>318</v>
      </c>
      <c r="I1167" t="s">
        <v>490</v>
      </c>
      <c r="J1167" t="s">
        <v>491</v>
      </c>
    </row>
    <row r="1168" spans="1:10" hidden="1" x14ac:dyDescent="0.25">
      <c r="A1168" t="s">
        <v>294</v>
      </c>
      <c r="B1168" t="s">
        <v>6</v>
      </c>
      <c r="C1168" t="s">
        <v>7</v>
      </c>
      <c r="D1168" t="s">
        <v>27</v>
      </c>
      <c r="E1168" s="2">
        <v>43336.14539351852</v>
      </c>
      <c r="F1168" t="s">
        <v>585</v>
      </c>
      <c r="G1168" t="s">
        <v>318</v>
      </c>
      <c r="H1168" t="s">
        <v>434</v>
      </c>
      <c r="I1168" t="s">
        <v>494</v>
      </c>
      <c r="J1168" t="s">
        <v>501</v>
      </c>
    </row>
    <row r="1169" spans="1:10" hidden="1" x14ac:dyDescent="0.25">
      <c r="A1169" t="s">
        <v>107</v>
      </c>
      <c r="B1169" t="s">
        <v>6</v>
      </c>
      <c r="C1169" t="s">
        <v>7</v>
      </c>
      <c r="D1169" t="s">
        <v>10</v>
      </c>
      <c r="E1169" s="2">
        <v>43336.145509259259</v>
      </c>
      <c r="F1169" t="s">
        <v>300</v>
      </c>
      <c r="G1169" t="s">
        <v>462</v>
      </c>
      <c r="H1169" t="s">
        <v>323</v>
      </c>
      <c r="I1169" t="s">
        <v>494</v>
      </c>
      <c r="J1169" t="s">
        <v>13</v>
      </c>
    </row>
    <row r="1170" spans="1:10" hidden="1" x14ac:dyDescent="0.25">
      <c r="A1170" t="s">
        <v>23</v>
      </c>
      <c r="B1170" t="s">
        <v>6</v>
      </c>
      <c r="C1170" t="s">
        <v>7</v>
      </c>
      <c r="D1170" t="s">
        <v>13</v>
      </c>
      <c r="E1170" s="2">
        <v>43336.145532407405</v>
      </c>
      <c r="F1170" t="s">
        <v>590</v>
      </c>
      <c r="G1170" t="s">
        <v>429</v>
      </c>
      <c r="H1170" t="s">
        <v>460</v>
      </c>
      <c r="I1170" t="s">
        <v>494</v>
      </c>
      <c r="J1170" t="s">
        <v>497</v>
      </c>
    </row>
    <row r="1171" spans="1:10" hidden="1" x14ac:dyDescent="0.25">
      <c r="A1171" t="s">
        <v>379</v>
      </c>
      <c r="B1171" t="s">
        <v>6</v>
      </c>
      <c r="C1171" t="s">
        <v>7</v>
      </c>
      <c r="D1171" t="s">
        <v>476</v>
      </c>
      <c r="E1171" s="2">
        <v>43336.145578703705</v>
      </c>
      <c r="F1171" t="s">
        <v>591</v>
      </c>
      <c r="G1171" t="s">
        <v>318</v>
      </c>
      <c r="H1171" t="s">
        <v>431</v>
      </c>
      <c r="I1171" t="s">
        <v>554</v>
      </c>
      <c r="J1171" t="s">
        <v>556</v>
      </c>
    </row>
    <row r="1172" spans="1:10" hidden="1" x14ac:dyDescent="0.25">
      <c r="A1172" t="s">
        <v>89</v>
      </c>
      <c r="B1172" t="s">
        <v>6</v>
      </c>
      <c r="C1172" t="s">
        <v>7</v>
      </c>
      <c r="D1172" t="s">
        <v>10</v>
      </c>
      <c r="E1172" s="2">
        <v>43336.145925925928</v>
      </c>
      <c r="F1172" t="s">
        <v>299</v>
      </c>
      <c r="G1172" t="s">
        <v>318</v>
      </c>
      <c r="H1172" t="s">
        <v>437</v>
      </c>
      <c r="I1172" t="s">
        <v>492</v>
      </c>
      <c r="J1172" t="s">
        <v>546</v>
      </c>
    </row>
    <row r="1173" spans="1:10" hidden="1" x14ac:dyDescent="0.25">
      <c r="A1173" t="s">
        <v>369</v>
      </c>
      <c r="B1173" t="s">
        <v>6</v>
      </c>
      <c r="C1173" t="s">
        <v>7</v>
      </c>
      <c r="D1173" t="s">
        <v>10</v>
      </c>
      <c r="E1173" s="2">
        <v>43336.146006944444</v>
      </c>
      <c r="F1173" t="s">
        <v>587</v>
      </c>
      <c r="G1173" t="s">
        <v>458</v>
      </c>
      <c r="H1173" t="s">
        <v>323</v>
      </c>
      <c r="I1173" t="s">
        <v>490</v>
      </c>
      <c r="J1173" t="s">
        <v>491</v>
      </c>
    </row>
    <row r="1174" spans="1:10" hidden="1" x14ac:dyDescent="0.25">
      <c r="A1174" t="s">
        <v>236</v>
      </c>
      <c r="B1174" t="s">
        <v>6</v>
      </c>
      <c r="C1174" t="s">
        <v>7</v>
      </c>
      <c r="D1174" t="s">
        <v>10</v>
      </c>
      <c r="E1174" s="2">
        <v>43336.146041666667</v>
      </c>
      <c r="F1174" t="s">
        <v>303</v>
      </c>
      <c r="G1174" t="s">
        <v>428</v>
      </c>
      <c r="H1174" t="s">
        <v>450</v>
      </c>
      <c r="I1174" t="s">
        <v>494</v>
      </c>
      <c r="J1174" t="s">
        <v>501</v>
      </c>
    </row>
    <row r="1175" spans="1:10" hidden="1" x14ac:dyDescent="0.25">
      <c r="A1175" t="s">
        <v>295</v>
      </c>
      <c r="B1175" t="s">
        <v>6</v>
      </c>
      <c r="C1175" t="s">
        <v>7</v>
      </c>
      <c r="D1175" t="s">
        <v>10</v>
      </c>
      <c r="E1175" s="2">
        <v>43336.146053240744</v>
      </c>
      <c r="F1175" t="s">
        <v>585</v>
      </c>
      <c r="G1175" t="s">
        <v>318</v>
      </c>
      <c r="H1175" t="s">
        <v>435</v>
      </c>
      <c r="I1175" t="s">
        <v>494</v>
      </c>
      <c r="J1175" t="s">
        <v>501</v>
      </c>
    </row>
    <row r="1176" spans="1:10" hidden="1" x14ac:dyDescent="0.25">
      <c r="A1176" t="s">
        <v>22</v>
      </c>
      <c r="B1176" t="s">
        <v>6</v>
      </c>
      <c r="C1176" t="s">
        <v>7</v>
      </c>
      <c r="D1176" t="s">
        <v>476</v>
      </c>
      <c r="E1176" s="2">
        <v>43336.146134259259</v>
      </c>
      <c r="F1176" t="s">
        <v>590</v>
      </c>
      <c r="G1176" t="s">
        <v>429</v>
      </c>
      <c r="H1176" t="s">
        <v>461</v>
      </c>
      <c r="I1176" t="s">
        <v>494</v>
      </c>
      <c r="J1176" t="s">
        <v>497</v>
      </c>
    </row>
    <row r="1177" spans="1:10" hidden="1" x14ac:dyDescent="0.25">
      <c r="A1177" t="s">
        <v>224</v>
      </c>
      <c r="B1177" t="s">
        <v>6</v>
      </c>
      <c r="C1177" t="s">
        <v>7</v>
      </c>
      <c r="D1177" t="s">
        <v>484</v>
      </c>
      <c r="E1177" s="2">
        <v>43336.146157407406</v>
      </c>
      <c r="F1177" t="s">
        <v>298</v>
      </c>
      <c r="G1177" t="s">
        <v>318</v>
      </c>
      <c r="H1177" t="s">
        <v>435</v>
      </c>
      <c r="I1177" t="s">
        <v>13</v>
      </c>
      <c r="J1177" t="s">
        <v>516</v>
      </c>
    </row>
    <row r="1178" spans="1:10" hidden="1" x14ac:dyDescent="0.25">
      <c r="A1178" t="s">
        <v>93</v>
      </c>
      <c r="B1178" t="s">
        <v>6</v>
      </c>
      <c r="C1178" t="s">
        <v>7</v>
      </c>
      <c r="D1178" t="s">
        <v>10</v>
      </c>
      <c r="E1178" s="2">
        <v>43336.146180555559</v>
      </c>
      <c r="F1178" t="s">
        <v>300</v>
      </c>
      <c r="G1178" t="s">
        <v>462</v>
      </c>
      <c r="H1178" t="s">
        <v>385</v>
      </c>
      <c r="I1178" t="s">
        <v>552</v>
      </c>
      <c r="J1178" t="s">
        <v>565</v>
      </c>
    </row>
    <row r="1179" spans="1:10" hidden="1" x14ac:dyDescent="0.25">
      <c r="A1179" t="s">
        <v>418</v>
      </c>
      <c r="B1179" t="s">
        <v>6</v>
      </c>
      <c r="C1179" t="s">
        <v>7</v>
      </c>
      <c r="D1179" t="s">
        <v>13</v>
      </c>
      <c r="E1179" s="2">
        <v>43336.14634259259</v>
      </c>
      <c r="F1179" t="s">
        <v>591</v>
      </c>
      <c r="G1179" t="s">
        <v>318</v>
      </c>
      <c r="H1179" t="s">
        <v>432</v>
      </c>
      <c r="I1179" t="s">
        <v>554</v>
      </c>
      <c r="J1179" t="s">
        <v>556</v>
      </c>
    </row>
    <row r="1180" spans="1:10" hidden="1" x14ac:dyDescent="0.25">
      <c r="A1180" t="s">
        <v>390</v>
      </c>
      <c r="B1180" t="s">
        <v>306</v>
      </c>
      <c r="C1180" t="s">
        <v>306</v>
      </c>
      <c r="D1180" t="s">
        <v>307</v>
      </c>
      <c r="E1180" s="2">
        <v>43336.146516203706</v>
      </c>
      <c r="F1180" t="s">
        <v>586</v>
      </c>
      <c r="G1180" t="s">
        <v>318</v>
      </c>
      <c r="H1180" t="s">
        <v>446</v>
      </c>
      <c r="I1180" t="s">
        <v>490</v>
      </c>
      <c r="J1180" t="s">
        <v>491</v>
      </c>
    </row>
    <row r="1181" spans="1:10" hidden="1" x14ac:dyDescent="0.25">
      <c r="A1181" t="s">
        <v>92</v>
      </c>
      <c r="B1181" t="s">
        <v>6</v>
      </c>
      <c r="C1181" t="s">
        <v>7</v>
      </c>
      <c r="D1181" t="s">
        <v>27</v>
      </c>
      <c r="E1181" s="2">
        <v>43336.14671296296</v>
      </c>
      <c r="F1181" t="s">
        <v>299</v>
      </c>
      <c r="G1181" t="s">
        <v>318</v>
      </c>
      <c r="H1181" t="s">
        <v>438</v>
      </c>
      <c r="I1181" t="s">
        <v>492</v>
      </c>
      <c r="J1181" t="s">
        <v>546</v>
      </c>
    </row>
    <row r="1182" spans="1:10" hidden="1" x14ac:dyDescent="0.25">
      <c r="A1182" t="s">
        <v>173</v>
      </c>
      <c r="B1182" t="s">
        <v>6</v>
      </c>
      <c r="C1182" t="s">
        <v>7</v>
      </c>
      <c r="D1182" t="s">
        <v>10</v>
      </c>
      <c r="E1182" s="2">
        <v>43336.14671296296</v>
      </c>
      <c r="F1182" t="s">
        <v>303</v>
      </c>
      <c r="G1182" t="s">
        <v>428</v>
      </c>
      <c r="H1182" t="s">
        <v>451</v>
      </c>
      <c r="I1182" t="s">
        <v>494</v>
      </c>
      <c r="J1182" t="s">
        <v>501</v>
      </c>
    </row>
    <row r="1183" spans="1:10" hidden="1" x14ac:dyDescent="0.25">
      <c r="A1183" t="s">
        <v>178</v>
      </c>
      <c r="B1183" t="s">
        <v>6</v>
      </c>
      <c r="C1183" t="s">
        <v>7</v>
      </c>
      <c r="D1183" t="s">
        <v>10</v>
      </c>
      <c r="E1183" s="2">
        <v>43336.146736111114</v>
      </c>
      <c r="F1183" t="s">
        <v>585</v>
      </c>
      <c r="G1183" t="s">
        <v>318</v>
      </c>
      <c r="H1183" t="s">
        <v>436</v>
      </c>
      <c r="I1183" t="s">
        <v>494</v>
      </c>
      <c r="J1183" t="s">
        <v>501</v>
      </c>
    </row>
    <row r="1184" spans="1:10" hidden="1" x14ac:dyDescent="0.25">
      <c r="A1184" t="s">
        <v>68</v>
      </c>
      <c r="B1184" t="s">
        <v>6</v>
      </c>
      <c r="C1184" t="s">
        <v>7</v>
      </c>
      <c r="D1184" t="s">
        <v>10</v>
      </c>
      <c r="E1184" s="2">
        <v>43336.146782407406</v>
      </c>
      <c r="F1184" t="s">
        <v>300</v>
      </c>
      <c r="G1184" t="s">
        <v>462</v>
      </c>
      <c r="H1184" t="s">
        <v>457</v>
      </c>
      <c r="I1184" t="s">
        <v>552</v>
      </c>
      <c r="J1184" t="s">
        <v>568</v>
      </c>
    </row>
    <row r="1185" spans="1:10" hidden="1" x14ac:dyDescent="0.25">
      <c r="A1185" t="s">
        <v>319</v>
      </c>
      <c r="B1185" t="s">
        <v>6</v>
      </c>
      <c r="C1185" t="s">
        <v>7</v>
      </c>
      <c r="D1185" t="s">
        <v>27</v>
      </c>
      <c r="E1185" s="2">
        <v>43336.146840277775</v>
      </c>
      <c r="F1185" t="s">
        <v>587</v>
      </c>
      <c r="G1185" t="s">
        <v>458</v>
      </c>
      <c r="H1185" t="s">
        <v>385</v>
      </c>
      <c r="I1185" t="s">
        <v>490</v>
      </c>
      <c r="J1185" t="s">
        <v>491</v>
      </c>
    </row>
    <row r="1186" spans="1:10" hidden="1" x14ac:dyDescent="0.25">
      <c r="A1186" t="s">
        <v>21</v>
      </c>
      <c r="B1186" t="s">
        <v>6</v>
      </c>
      <c r="C1186" t="s">
        <v>7</v>
      </c>
      <c r="D1186" t="s">
        <v>27</v>
      </c>
      <c r="E1186" s="2">
        <v>43336.146863425929</v>
      </c>
      <c r="F1186" t="s">
        <v>590</v>
      </c>
      <c r="G1186" t="s">
        <v>429</v>
      </c>
      <c r="H1186" t="s">
        <v>462</v>
      </c>
      <c r="I1186" t="s">
        <v>494</v>
      </c>
      <c r="J1186" t="s">
        <v>497</v>
      </c>
    </row>
    <row r="1187" spans="1:10" hidden="1" x14ac:dyDescent="0.25">
      <c r="A1187" t="s">
        <v>225</v>
      </c>
      <c r="B1187" t="s">
        <v>6</v>
      </c>
      <c r="C1187" t="s">
        <v>7</v>
      </c>
      <c r="D1187" t="s">
        <v>27</v>
      </c>
      <c r="E1187" s="2">
        <v>43336.146956018521</v>
      </c>
      <c r="F1187" t="s">
        <v>298</v>
      </c>
      <c r="G1187" t="s">
        <v>318</v>
      </c>
      <c r="H1187" t="s">
        <v>436</v>
      </c>
      <c r="I1187" t="s">
        <v>492</v>
      </c>
      <c r="J1187" t="s">
        <v>493</v>
      </c>
    </row>
    <row r="1188" spans="1:10" hidden="1" x14ac:dyDescent="0.25">
      <c r="A1188" t="s">
        <v>402</v>
      </c>
      <c r="B1188" t="s">
        <v>6</v>
      </c>
      <c r="C1188" t="s">
        <v>7</v>
      </c>
      <c r="D1188" t="s">
        <v>13</v>
      </c>
      <c r="E1188" s="2">
        <v>43336.14707175926</v>
      </c>
      <c r="F1188" t="s">
        <v>591</v>
      </c>
      <c r="G1188" t="s">
        <v>318</v>
      </c>
      <c r="H1188" t="s">
        <v>433</v>
      </c>
      <c r="I1188" t="s">
        <v>554</v>
      </c>
      <c r="J1188" t="s">
        <v>556</v>
      </c>
    </row>
    <row r="1189" spans="1:10" hidden="1" x14ac:dyDescent="0.25">
      <c r="A1189" t="s">
        <v>172</v>
      </c>
      <c r="B1189" t="s">
        <v>6</v>
      </c>
      <c r="C1189" t="s">
        <v>7</v>
      </c>
      <c r="D1189" t="s">
        <v>10</v>
      </c>
      <c r="E1189" s="2">
        <v>43336.147337962961</v>
      </c>
      <c r="F1189" t="s">
        <v>303</v>
      </c>
      <c r="G1189" t="s">
        <v>428</v>
      </c>
      <c r="H1189" t="s">
        <v>452</v>
      </c>
      <c r="I1189" t="s">
        <v>494</v>
      </c>
      <c r="J1189" t="s">
        <v>501</v>
      </c>
    </row>
    <row r="1190" spans="1:10" hidden="1" x14ac:dyDescent="0.25">
      <c r="A1190" t="s">
        <v>40</v>
      </c>
      <c r="B1190" t="s">
        <v>6</v>
      </c>
      <c r="C1190" t="s">
        <v>7</v>
      </c>
      <c r="D1190" t="s">
        <v>476</v>
      </c>
      <c r="E1190" s="2">
        <v>43336.147349537037</v>
      </c>
      <c r="F1190" t="s">
        <v>585</v>
      </c>
      <c r="G1190" t="s">
        <v>318</v>
      </c>
      <c r="H1190" t="s">
        <v>437</v>
      </c>
      <c r="I1190" t="s">
        <v>494</v>
      </c>
      <c r="J1190" t="s">
        <v>501</v>
      </c>
    </row>
    <row r="1191" spans="1:10" hidden="1" x14ac:dyDescent="0.25">
      <c r="A1191" t="s">
        <v>69</v>
      </c>
      <c r="B1191" t="s">
        <v>6</v>
      </c>
      <c r="C1191" t="s">
        <v>7</v>
      </c>
      <c r="D1191" t="s">
        <v>476</v>
      </c>
      <c r="E1191" s="2">
        <v>43336.147372685184</v>
      </c>
      <c r="F1191" t="s">
        <v>299</v>
      </c>
      <c r="G1191" t="s">
        <v>318</v>
      </c>
      <c r="H1191" t="s">
        <v>439</v>
      </c>
      <c r="I1191" t="s">
        <v>492</v>
      </c>
      <c r="J1191" t="s">
        <v>546</v>
      </c>
    </row>
    <row r="1192" spans="1:10" hidden="1" x14ac:dyDescent="0.25">
      <c r="A1192" t="s">
        <v>95</v>
      </c>
      <c r="B1192" t="s">
        <v>6</v>
      </c>
      <c r="C1192" t="s">
        <v>7</v>
      </c>
      <c r="D1192" t="s">
        <v>10</v>
      </c>
      <c r="E1192" s="2">
        <v>43336.147407407407</v>
      </c>
      <c r="F1192" t="s">
        <v>300</v>
      </c>
      <c r="G1192" t="s">
        <v>462</v>
      </c>
      <c r="H1192" t="s">
        <v>458</v>
      </c>
      <c r="I1192" t="s">
        <v>552</v>
      </c>
      <c r="J1192" t="s">
        <v>568</v>
      </c>
    </row>
    <row r="1193" spans="1:10" hidden="1" x14ac:dyDescent="0.25">
      <c r="A1193" t="s">
        <v>20</v>
      </c>
      <c r="B1193" t="s">
        <v>6</v>
      </c>
      <c r="C1193" t="s">
        <v>7</v>
      </c>
      <c r="D1193" t="s">
        <v>10</v>
      </c>
      <c r="E1193" s="2">
        <v>43336.147488425922</v>
      </c>
      <c r="F1193" t="s">
        <v>590</v>
      </c>
      <c r="G1193" t="s">
        <v>429</v>
      </c>
      <c r="H1193" t="s">
        <v>453</v>
      </c>
      <c r="I1193" t="s">
        <v>494</v>
      </c>
      <c r="J1193" t="s">
        <v>13</v>
      </c>
    </row>
    <row r="1194" spans="1:10" hidden="1" x14ac:dyDescent="0.25">
      <c r="A1194" t="s">
        <v>229</v>
      </c>
      <c r="B1194" t="s">
        <v>306</v>
      </c>
      <c r="C1194" t="s">
        <v>306</v>
      </c>
      <c r="D1194" t="s">
        <v>307</v>
      </c>
      <c r="E1194" s="2">
        <v>43336.147488425922</v>
      </c>
      <c r="F1194" t="s">
        <v>298</v>
      </c>
      <c r="G1194" t="s">
        <v>318</v>
      </c>
      <c r="H1194" t="s">
        <v>437</v>
      </c>
      <c r="I1194" t="s">
        <v>492</v>
      </c>
      <c r="J1194" t="s">
        <v>493</v>
      </c>
    </row>
    <row r="1195" spans="1:10" hidden="1" x14ac:dyDescent="0.25">
      <c r="A1195" t="s">
        <v>320</v>
      </c>
      <c r="B1195" t="s">
        <v>6</v>
      </c>
      <c r="C1195" t="s">
        <v>7</v>
      </c>
      <c r="D1195" t="s">
        <v>27</v>
      </c>
      <c r="E1195" s="2">
        <v>43336.147581018522</v>
      </c>
      <c r="F1195" t="s">
        <v>587</v>
      </c>
      <c r="G1195" t="s">
        <v>458</v>
      </c>
      <c r="H1195" t="s">
        <v>457</v>
      </c>
      <c r="I1195" t="s">
        <v>490</v>
      </c>
      <c r="J1195" t="s">
        <v>491</v>
      </c>
    </row>
    <row r="1196" spans="1:10" hidden="1" x14ac:dyDescent="0.25">
      <c r="A1196" t="s">
        <v>403</v>
      </c>
      <c r="B1196" t="s">
        <v>6</v>
      </c>
      <c r="C1196" t="s">
        <v>7</v>
      </c>
      <c r="D1196" t="s">
        <v>13</v>
      </c>
      <c r="E1196" s="2">
        <v>43336.147881944446</v>
      </c>
      <c r="F1196" t="s">
        <v>591</v>
      </c>
      <c r="G1196" t="s">
        <v>318</v>
      </c>
      <c r="H1196" t="s">
        <v>434</v>
      </c>
      <c r="I1196" t="s">
        <v>554</v>
      </c>
      <c r="J1196" t="s">
        <v>556</v>
      </c>
    </row>
    <row r="1197" spans="1:10" hidden="1" x14ac:dyDescent="0.25">
      <c r="A1197" t="s">
        <v>149</v>
      </c>
      <c r="B1197" t="s">
        <v>6</v>
      </c>
      <c r="C1197" t="s">
        <v>7</v>
      </c>
      <c r="D1197" t="s">
        <v>10</v>
      </c>
      <c r="E1197" s="2">
        <v>43336.147997685184</v>
      </c>
      <c r="F1197" t="s">
        <v>585</v>
      </c>
      <c r="G1197" t="s">
        <v>318</v>
      </c>
      <c r="H1197" t="s">
        <v>438</v>
      </c>
      <c r="I1197" t="s">
        <v>494</v>
      </c>
      <c r="J1197" t="s">
        <v>501</v>
      </c>
    </row>
    <row r="1198" spans="1:10" hidden="1" x14ac:dyDescent="0.25">
      <c r="A1198" t="s">
        <v>152</v>
      </c>
      <c r="B1198" t="s">
        <v>6</v>
      </c>
      <c r="C1198" t="s">
        <v>7</v>
      </c>
      <c r="D1198" t="s">
        <v>10</v>
      </c>
      <c r="E1198" s="2">
        <v>43336.148009259261</v>
      </c>
      <c r="F1198" t="s">
        <v>299</v>
      </c>
      <c r="G1198" t="s">
        <v>318</v>
      </c>
      <c r="H1198" t="s">
        <v>440</v>
      </c>
      <c r="I1198" t="s">
        <v>492</v>
      </c>
      <c r="J1198" t="s">
        <v>546</v>
      </c>
    </row>
    <row r="1199" spans="1:10" hidden="1" x14ac:dyDescent="0.25">
      <c r="A1199" t="s">
        <v>223</v>
      </c>
      <c r="B1199" t="s">
        <v>6</v>
      </c>
      <c r="C1199" t="s">
        <v>7</v>
      </c>
      <c r="D1199" t="s">
        <v>10</v>
      </c>
      <c r="E1199" s="2">
        <v>43336.148078703707</v>
      </c>
      <c r="F1199" t="s">
        <v>298</v>
      </c>
      <c r="G1199" t="s">
        <v>318</v>
      </c>
      <c r="H1199" t="s">
        <v>438</v>
      </c>
      <c r="I1199" t="s">
        <v>509</v>
      </c>
      <c r="J1199" t="s">
        <v>510</v>
      </c>
    </row>
    <row r="1200" spans="1:10" hidden="1" x14ac:dyDescent="0.25">
      <c r="A1200" t="s">
        <v>278</v>
      </c>
      <c r="B1200" t="s">
        <v>6</v>
      </c>
      <c r="C1200" t="s">
        <v>7</v>
      </c>
      <c r="D1200" t="s">
        <v>27</v>
      </c>
      <c r="E1200" s="2">
        <v>43336.148090277777</v>
      </c>
      <c r="F1200" t="s">
        <v>303</v>
      </c>
      <c r="G1200" t="s">
        <v>428</v>
      </c>
      <c r="H1200" t="s">
        <v>318</v>
      </c>
      <c r="I1200" t="s">
        <v>498</v>
      </c>
      <c r="J1200" t="s">
        <v>498</v>
      </c>
    </row>
    <row r="1201" spans="1:10" hidden="1" x14ac:dyDescent="0.25">
      <c r="A1201" t="s">
        <v>58</v>
      </c>
      <c r="B1201" t="s">
        <v>6</v>
      </c>
      <c r="C1201" t="s">
        <v>7</v>
      </c>
      <c r="D1201" t="s">
        <v>10</v>
      </c>
      <c r="E1201" s="2">
        <v>43336.148090277777</v>
      </c>
      <c r="F1201" t="s">
        <v>300</v>
      </c>
      <c r="G1201" t="s">
        <v>462</v>
      </c>
      <c r="H1201" t="s">
        <v>459</v>
      </c>
      <c r="I1201" t="s">
        <v>552</v>
      </c>
      <c r="J1201" t="s">
        <v>568</v>
      </c>
    </row>
    <row r="1202" spans="1:10" hidden="1" x14ac:dyDescent="0.25">
      <c r="A1202" t="s">
        <v>19</v>
      </c>
      <c r="B1202" t="s">
        <v>6</v>
      </c>
      <c r="C1202" t="s">
        <v>7</v>
      </c>
      <c r="D1202" t="s">
        <v>27</v>
      </c>
      <c r="E1202" s="2">
        <v>43336.148240740738</v>
      </c>
      <c r="F1202" t="s">
        <v>590</v>
      </c>
      <c r="G1202" t="s">
        <v>429</v>
      </c>
      <c r="H1202" t="s">
        <v>454</v>
      </c>
      <c r="I1202" t="s">
        <v>494</v>
      </c>
      <c r="J1202" t="s">
        <v>509</v>
      </c>
    </row>
    <row r="1203" spans="1:10" hidden="1" x14ac:dyDescent="0.25">
      <c r="A1203" t="s">
        <v>359</v>
      </c>
      <c r="B1203" t="s">
        <v>6</v>
      </c>
      <c r="C1203" t="s">
        <v>7</v>
      </c>
      <c r="D1203" t="s">
        <v>27</v>
      </c>
      <c r="E1203" s="2">
        <v>43336.148321759261</v>
      </c>
      <c r="F1203" t="s">
        <v>587</v>
      </c>
      <c r="G1203" t="s">
        <v>458</v>
      </c>
      <c r="H1203" t="s">
        <v>458</v>
      </c>
      <c r="I1203" t="s">
        <v>490</v>
      </c>
      <c r="J1203" t="s">
        <v>491</v>
      </c>
    </row>
    <row r="1204" spans="1:10" hidden="1" x14ac:dyDescent="0.25">
      <c r="A1204" t="s">
        <v>67</v>
      </c>
      <c r="B1204" t="s">
        <v>6</v>
      </c>
      <c r="C1204" t="s">
        <v>7</v>
      </c>
      <c r="D1204" t="s">
        <v>10</v>
      </c>
      <c r="E1204" s="2">
        <v>43336.148622685185</v>
      </c>
      <c r="F1204" t="s">
        <v>299</v>
      </c>
      <c r="G1204" t="s">
        <v>318</v>
      </c>
      <c r="H1204" t="s">
        <v>441</v>
      </c>
      <c r="I1204" t="s">
        <v>492</v>
      </c>
      <c r="J1204" t="s">
        <v>546</v>
      </c>
    </row>
    <row r="1205" spans="1:10" hidden="1" x14ac:dyDescent="0.25">
      <c r="A1205" t="s">
        <v>416</v>
      </c>
      <c r="B1205" t="s">
        <v>6</v>
      </c>
      <c r="C1205" t="s">
        <v>7</v>
      </c>
      <c r="D1205" t="s">
        <v>13</v>
      </c>
      <c r="E1205" s="2">
        <v>43336.148622685185</v>
      </c>
      <c r="F1205" t="s">
        <v>591</v>
      </c>
      <c r="G1205" t="s">
        <v>318</v>
      </c>
      <c r="H1205" t="s">
        <v>435</v>
      </c>
      <c r="I1205" t="s">
        <v>554</v>
      </c>
      <c r="J1205" t="s">
        <v>556</v>
      </c>
    </row>
    <row r="1206" spans="1:10" hidden="1" x14ac:dyDescent="0.25">
      <c r="A1206" t="s">
        <v>176</v>
      </c>
      <c r="B1206" t="s">
        <v>6</v>
      </c>
      <c r="C1206" t="s">
        <v>7</v>
      </c>
      <c r="D1206" t="s">
        <v>476</v>
      </c>
      <c r="E1206" s="2">
        <v>43336.148668981485</v>
      </c>
      <c r="F1206" t="s">
        <v>585</v>
      </c>
      <c r="G1206" t="s">
        <v>318</v>
      </c>
      <c r="H1206" t="s">
        <v>439</v>
      </c>
      <c r="I1206" t="s">
        <v>494</v>
      </c>
      <c r="J1206" t="s">
        <v>495</v>
      </c>
    </row>
    <row r="1207" spans="1:10" hidden="1" x14ac:dyDescent="0.25">
      <c r="A1207" t="s">
        <v>167</v>
      </c>
      <c r="B1207" t="s">
        <v>6</v>
      </c>
      <c r="C1207" t="s">
        <v>7</v>
      </c>
      <c r="D1207" t="s">
        <v>10</v>
      </c>
      <c r="E1207" s="2">
        <v>43336.148680555554</v>
      </c>
      <c r="F1207" t="s">
        <v>298</v>
      </c>
      <c r="G1207" t="s">
        <v>318</v>
      </c>
      <c r="H1207" t="s">
        <v>439</v>
      </c>
      <c r="I1207" t="s">
        <v>492</v>
      </c>
      <c r="J1207" t="s">
        <v>493</v>
      </c>
    </row>
    <row r="1208" spans="1:10" hidden="1" x14ac:dyDescent="0.25">
      <c r="A1208" t="s">
        <v>147</v>
      </c>
      <c r="B1208" t="s">
        <v>6</v>
      </c>
      <c r="C1208" t="s">
        <v>7</v>
      </c>
      <c r="D1208" t="s">
        <v>10</v>
      </c>
      <c r="E1208" s="2">
        <v>43336.148726851854</v>
      </c>
      <c r="F1208" t="s">
        <v>303</v>
      </c>
      <c r="G1208" t="s">
        <v>428</v>
      </c>
      <c r="H1208" t="s">
        <v>323</v>
      </c>
      <c r="I1208" t="s">
        <v>498</v>
      </c>
      <c r="J1208" t="s">
        <v>498</v>
      </c>
    </row>
    <row r="1209" spans="1:10" hidden="1" x14ac:dyDescent="0.25">
      <c r="A1209" t="s">
        <v>54</v>
      </c>
      <c r="B1209" t="s">
        <v>6</v>
      </c>
      <c r="C1209" t="s">
        <v>7</v>
      </c>
      <c r="D1209" t="s">
        <v>27</v>
      </c>
      <c r="E1209" s="2">
        <v>43336.148831018516</v>
      </c>
      <c r="F1209" t="s">
        <v>300</v>
      </c>
      <c r="G1209" t="s">
        <v>462</v>
      </c>
      <c r="H1209" t="s">
        <v>460</v>
      </c>
      <c r="I1209" t="s">
        <v>552</v>
      </c>
      <c r="J1209" t="s">
        <v>568</v>
      </c>
    </row>
    <row r="1210" spans="1:10" hidden="1" x14ac:dyDescent="0.25">
      <c r="A1210" t="s">
        <v>18</v>
      </c>
      <c r="B1210" t="s">
        <v>6</v>
      </c>
      <c r="C1210" t="s">
        <v>7</v>
      </c>
      <c r="D1210" t="s">
        <v>476</v>
      </c>
      <c r="E1210" s="2">
        <v>43336.148865740739</v>
      </c>
      <c r="F1210" t="s">
        <v>590</v>
      </c>
      <c r="G1210" t="s">
        <v>429</v>
      </c>
      <c r="H1210" t="s">
        <v>455</v>
      </c>
      <c r="I1210" t="s">
        <v>494</v>
      </c>
      <c r="J1210" t="s">
        <v>492</v>
      </c>
    </row>
    <row r="1211" spans="1:10" hidden="1" x14ac:dyDescent="0.25">
      <c r="A1211" t="s">
        <v>360</v>
      </c>
      <c r="B1211" t="s">
        <v>6</v>
      </c>
      <c r="C1211" t="s">
        <v>7</v>
      </c>
      <c r="D1211" t="s">
        <v>10</v>
      </c>
      <c r="E1211" s="2">
        <v>43336.148923611108</v>
      </c>
      <c r="F1211" t="s">
        <v>587</v>
      </c>
      <c r="G1211" t="s">
        <v>458</v>
      </c>
      <c r="H1211" t="s">
        <v>459</v>
      </c>
      <c r="I1211" t="s">
        <v>490</v>
      </c>
      <c r="J1211" t="s">
        <v>491</v>
      </c>
    </row>
    <row r="1212" spans="1:10" hidden="1" x14ac:dyDescent="0.25">
      <c r="A1212" t="s">
        <v>39</v>
      </c>
      <c r="B1212" t="s">
        <v>6</v>
      </c>
      <c r="C1212" t="s">
        <v>7</v>
      </c>
      <c r="D1212" t="s">
        <v>10</v>
      </c>
      <c r="E1212" s="2">
        <v>43336.149282407408</v>
      </c>
      <c r="F1212" t="s">
        <v>585</v>
      </c>
      <c r="G1212" t="s">
        <v>318</v>
      </c>
      <c r="H1212" t="s">
        <v>440</v>
      </c>
      <c r="I1212" t="s">
        <v>494</v>
      </c>
      <c r="J1212" t="s">
        <v>495</v>
      </c>
    </row>
    <row r="1213" spans="1:10" hidden="1" x14ac:dyDescent="0.25">
      <c r="A1213" t="s">
        <v>65</v>
      </c>
      <c r="B1213" t="s">
        <v>6</v>
      </c>
      <c r="C1213" t="s">
        <v>7</v>
      </c>
      <c r="D1213" t="s">
        <v>10</v>
      </c>
      <c r="E1213" s="2">
        <v>43336.149293981478</v>
      </c>
      <c r="F1213" t="s">
        <v>299</v>
      </c>
      <c r="G1213" t="s">
        <v>318</v>
      </c>
      <c r="H1213" t="s">
        <v>442</v>
      </c>
      <c r="I1213" t="s">
        <v>492</v>
      </c>
      <c r="J1213" t="s">
        <v>546</v>
      </c>
    </row>
    <row r="1214" spans="1:10" hidden="1" x14ac:dyDescent="0.25">
      <c r="A1214" t="s">
        <v>391</v>
      </c>
      <c r="B1214" t="s">
        <v>306</v>
      </c>
      <c r="C1214" t="s">
        <v>306</v>
      </c>
      <c r="D1214" t="s">
        <v>307</v>
      </c>
      <c r="E1214" s="2">
        <v>43336.149305555555</v>
      </c>
      <c r="F1214" t="s">
        <v>586</v>
      </c>
      <c r="G1214" t="s">
        <v>318</v>
      </c>
      <c r="H1214" t="s">
        <v>447</v>
      </c>
      <c r="I1214" t="s">
        <v>490</v>
      </c>
      <c r="J1214" t="s">
        <v>491</v>
      </c>
    </row>
    <row r="1215" spans="1:10" hidden="1" x14ac:dyDescent="0.25">
      <c r="A1215" t="s">
        <v>328</v>
      </c>
      <c r="B1215" t="s">
        <v>6</v>
      </c>
      <c r="C1215" t="s">
        <v>7</v>
      </c>
      <c r="D1215" t="s">
        <v>13</v>
      </c>
      <c r="E1215" s="2">
        <v>43336.149351851855</v>
      </c>
      <c r="F1215" t="s">
        <v>591</v>
      </c>
      <c r="G1215" t="s">
        <v>318</v>
      </c>
      <c r="H1215" t="s">
        <v>436</v>
      </c>
      <c r="I1215" t="s">
        <v>554</v>
      </c>
      <c r="J1215" t="s">
        <v>497</v>
      </c>
    </row>
    <row r="1216" spans="1:10" hidden="1" x14ac:dyDescent="0.25">
      <c r="A1216" t="s">
        <v>279</v>
      </c>
      <c r="B1216" t="s">
        <v>6</v>
      </c>
      <c r="C1216" t="s">
        <v>7</v>
      </c>
      <c r="D1216" t="s">
        <v>10</v>
      </c>
      <c r="E1216" s="2">
        <v>43336.149351851855</v>
      </c>
      <c r="F1216" t="s">
        <v>303</v>
      </c>
      <c r="G1216" t="s">
        <v>428</v>
      </c>
      <c r="H1216" t="s">
        <v>385</v>
      </c>
      <c r="I1216" t="s">
        <v>498</v>
      </c>
      <c r="J1216" t="s">
        <v>498</v>
      </c>
    </row>
    <row r="1217" spans="1:10" hidden="1" x14ac:dyDescent="0.25">
      <c r="A1217" t="s">
        <v>165</v>
      </c>
      <c r="B1217" t="s">
        <v>6</v>
      </c>
      <c r="C1217" t="s">
        <v>7</v>
      </c>
      <c r="D1217" t="s">
        <v>27</v>
      </c>
      <c r="E1217" s="2">
        <v>43336.149398148147</v>
      </c>
      <c r="F1217" t="s">
        <v>298</v>
      </c>
      <c r="G1217" t="s">
        <v>318</v>
      </c>
      <c r="H1217" t="s">
        <v>440</v>
      </c>
      <c r="I1217" t="s">
        <v>492</v>
      </c>
      <c r="J1217" t="s">
        <v>493</v>
      </c>
    </row>
    <row r="1218" spans="1:10" hidden="1" x14ac:dyDescent="0.25">
      <c r="A1218" t="s">
        <v>182</v>
      </c>
      <c r="B1218" t="s">
        <v>6</v>
      </c>
      <c r="C1218" t="s">
        <v>7</v>
      </c>
      <c r="D1218" t="s">
        <v>10</v>
      </c>
      <c r="E1218" s="2">
        <v>43336.14949074074</v>
      </c>
      <c r="F1218" t="s">
        <v>590</v>
      </c>
      <c r="G1218" t="s">
        <v>429</v>
      </c>
      <c r="H1218" t="s">
        <v>456</v>
      </c>
      <c r="I1218" t="s">
        <v>494</v>
      </c>
      <c r="J1218" t="s">
        <v>492</v>
      </c>
    </row>
    <row r="1219" spans="1:10" hidden="1" x14ac:dyDescent="0.25">
      <c r="A1219" t="s">
        <v>361</v>
      </c>
      <c r="B1219" t="s">
        <v>6</v>
      </c>
      <c r="C1219" t="s">
        <v>7</v>
      </c>
      <c r="D1219" t="s">
        <v>10</v>
      </c>
      <c r="E1219" s="2">
        <v>43336.149548611109</v>
      </c>
      <c r="F1219" t="s">
        <v>587</v>
      </c>
      <c r="G1219" t="s">
        <v>458</v>
      </c>
      <c r="H1219" t="s">
        <v>460</v>
      </c>
      <c r="I1219" t="s">
        <v>490</v>
      </c>
      <c r="J1219" t="s">
        <v>491</v>
      </c>
    </row>
    <row r="1220" spans="1:10" hidden="1" x14ac:dyDescent="0.25">
      <c r="A1220" t="s">
        <v>102</v>
      </c>
      <c r="B1220" t="s">
        <v>6</v>
      </c>
      <c r="C1220" t="s">
        <v>7</v>
      </c>
      <c r="D1220" t="s">
        <v>27</v>
      </c>
      <c r="E1220" s="2">
        <v>43336.149606481478</v>
      </c>
      <c r="F1220" t="s">
        <v>300</v>
      </c>
      <c r="G1220" t="s">
        <v>462</v>
      </c>
      <c r="H1220" t="s">
        <v>461</v>
      </c>
      <c r="I1220" t="s">
        <v>533</v>
      </c>
      <c r="J1220" t="s">
        <v>543</v>
      </c>
    </row>
    <row r="1221" spans="1:10" hidden="1" x14ac:dyDescent="0.25">
      <c r="A1221" t="s">
        <v>144</v>
      </c>
      <c r="B1221" t="s">
        <v>6</v>
      </c>
      <c r="C1221" t="s">
        <v>7</v>
      </c>
      <c r="D1221" t="s">
        <v>476</v>
      </c>
      <c r="E1221" s="2">
        <v>43336.149918981479</v>
      </c>
      <c r="F1221" t="s">
        <v>585</v>
      </c>
      <c r="G1221" t="s">
        <v>318</v>
      </c>
      <c r="H1221" t="s">
        <v>441</v>
      </c>
      <c r="I1221" t="s">
        <v>494</v>
      </c>
      <c r="J1221" t="s">
        <v>495</v>
      </c>
    </row>
    <row r="1222" spans="1:10" hidden="1" x14ac:dyDescent="0.25">
      <c r="A1222" t="s">
        <v>64</v>
      </c>
      <c r="B1222" t="s">
        <v>6</v>
      </c>
      <c r="C1222" t="s">
        <v>7</v>
      </c>
      <c r="D1222" t="s">
        <v>10</v>
      </c>
      <c r="E1222" s="2">
        <v>43336.149930555555</v>
      </c>
      <c r="F1222" t="s">
        <v>299</v>
      </c>
      <c r="G1222" t="s">
        <v>318</v>
      </c>
      <c r="H1222" t="s">
        <v>443</v>
      </c>
      <c r="I1222" t="s">
        <v>492</v>
      </c>
      <c r="J1222" t="s">
        <v>557</v>
      </c>
    </row>
    <row r="1223" spans="1:10" hidden="1" x14ac:dyDescent="0.25">
      <c r="A1223" t="s">
        <v>401</v>
      </c>
      <c r="B1223" t="s">
        <v>6</v>
      </c>
      <c r="C1223" t="s">
        <v>7</v>
      </c>
      <c r="D1223" t="s">
        <v>476</v>
      </c>
      <c r="E1223" s="2">
        <v>43336.149965277778</v>
      </c>
      <c r="F1223" t="s">
        <v>591</v>
      </c>
      <c r="G1223" t="s">
        <v>318</v>
      </c>
      <c r="H1223" t="s">
        <v>437</v>
      </c>
      <c r="I1223" t="s">
        <v>554</v>
      </c>
      <c r="J1223" t="s">
        <v>497</v>
      </c>
    </row>
    <row r="1224" spans="1:10" hidden="1" x14ac:dyDescent="0.25">
      <c r="A1224" t="s">
        <v>132</v>
      </c>
      <c r="B1224" t="s">
        <v>6</v>
      </c>
      <c r="C1224" t="s">
        <v>7</v>
      </c>
      <c r="D1224" t="s">
        <v>10</v>
      </c>
      <c r="E1224" s="2">
        <v>43336.149988425925</v>
      </c>
      <c r="F1224" t="s">
        <v>303</v>
      </c>
      <c r="G1224" t="s">
        <v>428</v>
      </c>
      <c r="H1224" t="s">
        <v>457</v>
      </c>
      <c r="I1224" t="s">
        <v>498</v>
      </c>
      <c r="J1224" t="s">
        <v>498</v>
      </c>
    </row>
    <row r="1225" spans="1:10" hidden="1" x14ac:dyDescent="0.25">
      <c r="A1225" t="s">
        <v>227</v>
      </c>
      <c r="B1225" t="s">
        <v>6</v>
      </c>
      <c r="C1225" t="s">
        <v>7</v>
      </c>
      <c r="D1225" t="s">
        <v>10</v>
      </c>
      <c r="E1225" s="2">
        <v>43336.150011574071</v>
      </c>
      <c r="F1225" t="s">
        <v>298</v>
      </c>
      <c r="G1225" t="s">
        <v>318</v>
      </c>
      <c r="H1225" t="s">
        <v>441</v>
      </c>
      <c r="I1225" t="s">
        <v>492</v>
      </c>
      <c r="J1225" t="s">
        <v>493</v>
      </c>
    </row>
    <row r="1226" spans="1:10" hidden="1" x14ac:dyDescent="0.25">
      <c r="A1226" t="s">
        <v>17</v>
      </c>
      <c r="B1226" t="s">
        <v>6</v>
      </c>
      <c r="C1226" t="s">
        <v>7</v>
      </c>
      <c r="D1226" t="s">
        <v>10</v>
      </c>
      <c r="E1226" s="2">
        <v>43336.15011574074</v>
      </c>
      <c r="F1226" t="s">
        <v>590</v>
      </c>
      <c r="G1226" t="s">
        <v>429</v>
      </c>
      <c r="H1226" t="s">
        <v>426</v>
      </c>
      <c r="I1226" t="s">
        <v>494</v>
      </c>
      <c r="J1226" t="s">
        <v>492</v>
      </c>
    </row>
    <row r="1227" spans="1:10" hidden="1" x14ac:dyDescent="0.25">
      <c r="A1227" t="s">
        <v>362</v>
      </c>
      <c r="B1227" t="s">
        <v>6</v>
      </c>
      <c r="C1227" t="s">
        <v>7</v>
      </c>
      <c r="D1227" t="s">
        <v>10</v>
      </c>
      <c r="E1227" s="2">
        <v>43336.15016203704</v>
      </c>
      <c r="F1227" t="s">
        <v>587</v>
      </c>
      <c r="G1227" t="s">
        <v>458</v>
      </c>
      <c r="H1227" t="s">
        <v>461</v>
      </c>
      <c r="I1227" t="s">
        <v>490</v>
      </c>
      <c r="J1227" t="s">
        <v>491</v>
      </c>
    </row>
    <row r="1228" spans="1:10" hidden="1" x14ac:dyDescent="0.25">
      <c r="A1228" t="s">
        <v>61</v>
      </c>
      <c r="B1228" t="s">
        <v>6</v>
      </c>
      <c r="C1228" t="s">
        <v>7</v>
      </c>
      <c r="D1228" t="s">
        <v>27</v>
      </c>
      <c r="E1228" s="2">
        <v>43336.150347222225</v>
      </c>
      <c r="F1228" t="s">
        <v>300</v>
      </c>
      <c r="G1228" t="s">
        <v>462</v>
      </c>
      <c r="H1228" t="s">
        <v>462</v>
      </c>
      <c r="I1228" t="s">
        <v>533</v>
      </c>
      <c r="J1228" t="s">
        <v>543</v>
      </c>
    </row>
    <row r="1229" spans="1:10" hidden="1" x14ac:dyDescent="0.25">
      <c r="A1229" t="s">
        <v>38</v>
      </c>
      <c r="B1229" t="s">
        <v>6</v>
      </c>
      <c r="C1229" t="s">
        <v>7</v>
      </c>
      <c r="D1229" t="s">
        <v>10</v>
      </c>
      <c r="E1229" s="2">
        <v>43336.150543981479</v>
      </c>
      <c r="F1229" t="s">
        <v>585</v>
      </c>
      <c r="G1229" t="s">
        <v>318</v>
      </c>
      <c r="H1229" t="s">
        <v>442</v>
      </c>
      <c r="I1229" t="s">
        <v>494</v>
      </c>
      <c r="J1229" t="s">
        <v>495</v>
      </c>
    </row>
    <row r="1230" spans="1:10" hidden="1" x14ac:dyDescent="0.25">
      <c r="A1230" t="s">
        <v>380</v>
      </c>
      <c r="B1230" t="s">
        <v>6</v>
      </c>
      <c r="C1230" t="s">
        <v>7</v>
      </c>
      <c r="D1230" t="s">
        <v>476</v>
      </c>
      <c r="E1230" s="2">
        <v>43336.150578703702</v>
      </c>
      <c r="F1230" t="s">
        <v>591</v>
      </c>
      <c r="G1230" t="s">
        <v>318</v>
      </c>
      <c r="H1230" t="s">
        <v>438</v>
      </c>
      <c r="I1230" t="s">
        <v>554</v>
      </c>
      <c r="J1230" t="s">
        <v>497</v>
      </c>
    </row>
    <row r="1231" spans="1:10" hidden="1" x14ac:dyDescent="0.25">
      <c r="A1231" t="s">
        <v>203</v>
      </c>
      <c r="B1231" t="s">
        <v>6</v>
      </c>
      <c r="C1231" t="s">
        <v>7</v>
      </c>
      <c r="D1231" t="s">
        <v>10</v>
      </c>
      <c r="E1231" s="2">
        <v>43336.150590277779</v>
      </c>
      <c r="F1231" t="s">
        <v>299</v>
      </c>
      <c r="G1231" t="s">
        <v>318</v>
      </c>
      <c r="H1231" t="s">
        <v>444</v>
      </c>
      <c r="I1231" t="s">
        <v>560</v>
      </c>
      <c r="J1231" t="s">
        <v>561</v>
      </c>
    </row>
    <row r="1232" spans="1:10" hidden="1" x14ac:dyDescent="0.25">
      <c r="A1232" t="s">
        <v>131</v>
      </c>
      <c r="B1232" t="s">
        <v>6</v>
      </c>
      <c r="C1232" t="s">
        <v>7</v>
      </c>
      <c r="D1232" t="s">
        <v>10</v>
      </c>
      <c r="E1232" s="2">
        <v>43336.150625000002</v>
      </c>
      <c r="F1232" t="s">
        <v>303</v>
      </c>
      <c r="G1232" t="s">
        <v>428</v>
      </c>
      <c r="H1232" t="s">
        <v>458</v>
      </c>
      <c r="I1232" t="s">
        <v>498</v>
      </c>
      <c r="J1232" t="s">
        <v>498</v>
      </c>
    </row>
    <row r="1233" spans="1:10" hidden="1" x14ac:dyDescent="0.25">
      <c r="A1233" t="s">
        <v>164</v>
      </c>
      <c r="B1233" t="s">
        <v>6</v>
      </c>
      <c r="C1233" t="s">
        <v>7</v>
      </c>
      <c r="D1233" t="s">
        <v>10</v>
      </c>
      <c r="E1233" s="2">
        <v>43336.150636574072</v>
      </c>
      <c r="F1233" t="s">
        <v>298</v>
      </c>
      <c r="G1233" t="s">
        <v>318</v>
      </c>
      <c r="H1233" t="s">
        <v>442</v>
      </c>
      <c r="I1233" t="s">
        <v>492</v>
      </c>
      <c r="J1233" t="s">
        <v>493</v>
      </c>
    </row>
    <row r="1234" spans="1:10" hidden="1" x14ac:dyDescent="0.25">
      <c r="A1234" t="s">
        <v>14</v>
      </c>
      <c r="B1234" t="s">
        <v>6</v>
      </c>
      <c r="C1234" t="s">
        <v>7</v>
      </c>
      <c r="D1234" t="s">
        <v>476</v>
      </c>
      <c r="E1234" s="2">
        <v>43336.150740740741</v>
      </c>
      <c r="F1234" t="s">
        <v>590</v>
      </c>
      <c r="G1234" t="s">
        <v>429</v>
      </c>
      <c r="H1234" t="s">
        <v>427</v>
      </c>
      <c r="I1234" t="s">
        <v>511</v>
      </c>
      <c r="J1234" t="s">
        <v>540</v>
      </c>
    </row>
    <row r="1235" spans="1:10" hidden="1" x14ac:dyDescent="0.25">
      <c r="A1235" t="s">
        <v>341</v>
      </c>
      <c r="B1235" t="s">
        <v>6</v>
      </c>
      <c r="C1235" t="s">
        <v>7</v>
      </c>
      <c r="D1235" t="s">
        <v>27</v>
      </c>
      <c r="E1235" s="2">
        <v>43336.150914351849</v>
      </c>
      <c r="F1235" t="s">
        <v>587</v>
      </c>
      <c r="G1235" t="s">
        <v>458</v>
      </c>
      <c r="H1235" t="s">
        <v>462</v>
      </c>
      <c r="I1235" t="s">
        <v>490</v>
      </c>
      <c r="J1235" t="s">
        <v>491</v>
      </c>
    </row>
    <row r="1236" spans="1:10" hidden="1" x14ac:dyDescent="0.25">
      <c r="A1236" t="s">
        <v>53</v>
      </c>
      <c r="B1236" t="s">
        <v>6</v>
      </c>
      <c r="C1236" t="s">
        <v>7</v>
      </c>
      <c r="D1236" t="s">
        <v>27</v>
      </c>
      <c r="E1236" s="2">
        <v>43336.15111111111</v>
      </c>
      <c r="F1236" t="s">
        <v>300</v>
      </c>
      <c r="G1236" t="s">
        <v>462</v>
      </c>
      <c r="H1236" t="s">
        <v>453</v>
      </c>
      <c r="I1236" t="s">
        <v>533</v>
      </c>
      <c r="J1236" t="s">
        <v>543</v>
      </c>
    </row>
    <row r="1237" spans="1:10" hidden="1" x14ac:dyDescent="0.25">
      <c r="A1237" t="s">
        <v>37</v>
      </c>
      <c r="B1237" t="s">
        <v>6</v>
      </c>
      <c r="C1237" t="s">
        <v>7</v>
      </c>
      <c r="D1237" t="s">
        <v>10</v>
      </c>
      <c r="E1237" s="2">
        <v>43336.15115740741</v>
      </c>
      <c r="F1237" t="s">
        <v>585</v>
      </c>
      <c r="G1237" t="s">
        <v>318</v>
      </c>
      <c r="H1237" t="s">
        <v>443</v>
      </c>
      <c r="I1237" t="s">
        <v>494</v>
      </c>
      <c r="J1237" t="s">
        <v>495</v>
      </c>
    </row>
    <row r="1238" spans="1:10" hidden="1" x14ac:dyDescent="0.25">
      <c r="A1238" t="s">
        <v>168</v>
      </c>
      <c r="B1238" t="s">
        <v>6</v>
      </c>
      <c r="C1238" t="s">
        <v>7</v>
      </c>
      <c r="D1238" t="s">
        <v>10</v>
      </c>
      <c r="E1238" s="2">
        <v>43336.151238425926</v>
      </c>
      <c r="F1238" t="s">
        <v>298</v>
      </c>
      <c r="G1238" t="s">
        <v>318</v>
      </c>
      <c r="H1238" t="s">
        <v>443</v>
      </c>
      <c r="I1238" t="s">
        <v>492</v>
      </c>
      <c r="J1238" t="s">
        <v>500</v>
      </c>
    </row>
    <row r="1239" spans="1:10" hidden="1" x14ac:dyDescent="0.25">
      <c r="A1239" t="s">
        <v>121</v>
      </c>
      <c r="B1239" t="s">
        <v>6</v>
      </c>
      <c r="C1239" t="s">
        <v>7</v>
      </c>
      <c r="D1239" t="s">
        <v>10</v>
      </c>
      <c r="E1239" s="2">
        <v>43336.151238425926</v>
      </c>
      <c r="F1239" t="s">
        <v>299</v>
      </c>
      <c r="G1239" t="s">
        <v>318</v>
      </c>
      <c r="H1239" t="s">
        <v>445</v>
      </c>
      <c r="I1239" t="s">
        <v>558</v>
      </c>
      <c r="J1239" t="s">
        <v>559</v>
      </c>
    </row>
    <row r="1240" spans="1:10" hidden="1" x14ac:dyDescent="0.25">
      <c r="A1240" t="s">
        <v>329</v>
      </c>
      <c r="B1240" t="s">
        <v>6</v>
      </c>
      <c r="C1240" t="s">
        <v>7</v>
      </c>
      <c r="D1240" t="s">
        <v>13</v>
      </c>
      <c r="E1240" s="2">
        <v>43336.151331018518</v>
      </c>
      <c r="F1240" t="s">
        <v>591</v>
      </c>
      <c r="G1240" t="s">
        <v>318</v>
      </c>
      <c r="H1240" t="s">
        <v>439</v>
      </c>
      <c r="I1240" t="s">
        <v>554</v>
      </c>
      <c r="J1240" t="s">
        <v>497</v>
      </c>
    </row>
    <row r="1241" spans="1:10" hidden="1" x14ac:dyDescent="0.25">
      <c r="A1241" t="s">
        <v>233</v>
      </c>
      <c r="B1241" t="s">
        <v>6</v>
      </c>
      <c r="C1241" t="s">
        <v>7</v>
      </c>
      <c r="D1241" t="s">
        <v>476</v>
      </c>
      <c r="E1241" s="2">
        <v>43336.151365740741</v>
      </c>
      <c r="F1241" t="s">
        <v>590</v>
      </c>
      <c r="G1241" t="s">
        <v>429</v>
      </c>
      <c r="H1241" t="s">
        <v>428</v>
      </c>
      <c r="I1241" t="s">
        <v>511</v>
      </c>
      <c r="J1241" t="s">
        <v>537</v>
      </c>
    </row>
    <row r="1242" spans="1:10" hidden="1" x14ac:dyDescent="0.25">
      <c r="A1242" t="s">
        <v>130</v>
      </c>
      <c r="B1242" t="s">
        <v>6</v>
      </c>
      <c r="C1242" t="s">
        <v>7</v>
      </c>
      <c r="D1242" t="s">
        <v>13</v>
      </c>
      <c r="E1242" s="2">
        <v>43336.151388888888</v>
      </c>
      <c r="F1242" t="s">
        <v>303</v>
      </c>
      <c r="G1242" t="s">
        <v>428</v>
      </c>
      <c r="H1242" t="s">
        <v>459</v>
      </c>
      <c r="I1242" t="s">
        <v>494</v>
      </c>
      <c r="J1242" t="s">
        <v>544</v>
      </c>
    </row>
    <row r="1243" spans="1:10" hidden="1" x14ac:dyDescent="0.25">
      <c r="A1243" t="s">
        <v>342</v>
      </c>
      <c r="B1243" t="s">
        <v>6</v>
      </c>
      <c r="C1243" t="s">
        <v>7</v>
      </c>
      <c r="D1243" t="s">
        <v>10</v>
      </c>
      <c r="E1243" s="2">
        <v>43336.15152777778</v>
      </c>
      <c r="F1243" t="s">
        <v>587</v>
      </c>
      <c r="G1243" t="s">
        <v>458</v>
      </c>
      <c r="H1243" t="s">
        <v>453</v>
      </c>
      <c r="I1243" t="s">
        <v>490</v>
      </c>
      <c r="J1243" t="s">
        <v>491</v>
      </c>
    </row>
    <row r="1244" spans="1:10" hidden="1" x14ac:dyDescent="0.25">
      <c r="A1244" t="s">
        <v>216</v>
      </c>
      <c r="B1244" t="s">
        <v>6</v>
      </c>
      <c r="C1244" t="s">
        <v>7</v>
      </c>
      <c r="D1244" t="s">
        <v>476</v>
      </c>
      <c r="E1244" s="2">
        <v>43336.151805555557</v>
      </c>
      <c r="F1244" t="s">
        <v>585</v>
      </c>
      <c r="G1244" t="s">
        <v>318</v>
      </c>
      <c r="H1244" t="s">
        <v>444</v>
      </c>
      <c r="I1244" t="s">
        <v>494</v>
      </c>
      <c r="J1244" t="s">
        <v>495</v>
      </c>
    </row>
    <row r="1245" spans="1:10" hidden="1" x14ac:dyDescent="0.25">
      <c r="A1245" t="s">
        <v>66</v>
      </c>
      <c r="B1245" t="s">
        <v>6</v>
      </c>
      <c r="C1245" t="s">
        <v>7</v>
      </c>
      <c r="D1245" t="s">
        <v>10</v>
      </c>
      <c r="E1245" s="2">
        <v>43336.151875000003</v>
      </c>
      <c r="F1245" t="s">
        <v>299</v>
      </c>
      <c r="G1245" t="s">
        <v>318</v>
      </c>
      <c r="H1245" t="s">
        <v>446</v>
      </c>
      <c r="I1245" t="s">
        <v>558</v>
      </c>
      <c r="J1245" t="s">
        <v>559</v>
      </c>
    </row>
    <row r="1246" spans="1:10" hidden="1" x14ac:dyDescent="0.25">
      <c r="A1246" t="s">
        <v>156</v>
      </c>
      <c r="B1246" t="s">
        <v>6</v>
      </c>
      <c r="C1246" t="s">
        <v>7</v>
      </c>
      <c r="D1246" t="s">
        <v>27</v>
      </c>
      <c r="E1246" s="2">
        <v>43336.151886574073</v>
      </c>
      <c r="F1246" t="s">
        <v>300</v>
      </c>
      <c r="G1246" t="s">
        <v>462</v>
      </c>
      <c r="H1246" t="s">
        <v>454</v>
      </c>
      <c r="I1246" t="s">
        <v>533</v>
      </c>
      <c r="J1246" t="s">
        <v>543</v>
      </c>
    </row>
    <row r="1247" spans="1:10" hidden="1" x14ac:dyDescent="0.25">
      <c r="A1247" t="s">
        <v>163</v>
      </c>
      <c r="B1247" t="s">
        <v>6</v>
      </c>
      <c r="C1247" t="s">
        <v>7</v>
      </c>
      <c r="D1247" t="s">
        <v>27</v>
      </c>
      <c r="E1247" s="2">
        <v>43336.151956018519</v>
      </c>
      <c r="F1247" t="s">
        <v>298</v>
      </c>
      <c r="G1247" t="s">
        <v>318</v>
      </c>
      <c r="H1247" t="s">
        <v>444</v>
      </c>
      <c r="I1247" t="s">
        <v>492</v>
      </c>
      <c r="J1247" t="s">
        <v>493</v>
      </c>
    </row>
    <row r="1248" spans="1:10" hidden="1" x14ac:dyDescent="0.25">
      <c r="A1248" t="s">
        <v>12</v>
      </c>
      <c r="B1248" t="s">
        <v>6</v>
      </c>
      <c r="C1248" t="s">
        <v>7</v>
      </c>
      <c r="D1248" t="s">
        <v>10</v>
      </c>
      <c r="E1248" s="2">
        <v>43336.151979166665</v>
      </c>
      <c r="F1248" t="s">
        <v>590</v>
      </c>
      <c r="G1248" t="s">
        <v>429</v>
      </c>
      <c r="H1248" t="s">
        <v>429</v>
      </c>
      <c r="I1248" t="s">
        <v>494</v>
      </c>
      <c r="J1248" t="s">
        <v>492</v>
      </c>
    </row>
    <row r="1249" spans="1:10" hidden="1" x14ac:dyDescent="0.25">
      <c r="A1249" t="s">
        <v>184</v>
      </c>
      <c r="B1249" t="s">
        <v>6</v>
      </c>
      <c r="C1249" t="s">
        <v>7</v>
      </c>
      <c r="D1249" t="s">
        <v>476</v>
      </c>
      <c r="E1249" s="2">
        <v>43336.152013888888</v>
      </c>
      <c r="F1249" t="s">
        <v>303</v>
      </c>
      <c r="G1249" t="s">
        <v>428</v>
      </c>
      <c r="H1249" t="s">
        <v>460</v>
      </c>
      <c r="I1249" t="s">
        <v>494</v>
      </c>
      <c r="J1249" t="s">
        <v>544</v>
      </c>
    </row>
    <row r="1250" spans="1:10" hidden="1" x14ac:dyDescent="0.25">
      <c r="A1250" t="s">
        <v>383</v>
      </c>
      <c r="B1250" t="s">
        <v>6</v>
      </c>
      <c r="C1250" t="s">
        <v>7</v>
      </c>
      <c r="D1250" t="s">
        <v>13</v>
      </c>
      <c r="E1250" s="2">
        <v>43336.152071759258</v>
      </c>
      <c r="F1250" t="s">
        <v>591</v>
      </c>
      <c r="G1250" t="s">
        <v>318</v>
      </c>
      <c r="H1250" t="s">
        <v>440</v>
      </c>
      <c r="I1250" t="s">
        <v>554</v>
      </c>
      <c r="J1250" t="s">
        <v>497</v>
      </c>
    </row>
    <row r="1251" spans="1:10" hidden="1" x14ac:dyDescent="0.25">
      <c r="A1251" t="s">
        <v>364</v>
      </c>
      <c r="B1251" t="s">
        <v>306</v>
      </c>
      <c r="C1251" t="s">
        <v>306</v>
      </c>
      <c r="D1251" t="s">
        <v>307</v>
      </c>
      <c r="E1251" s="2">
        <v>43336.152094907404</v>
      </c>
      <c r="F1251" t="s">
        <v>586</v>
      </c>
      <c r="G1251" t="s">
        <v>318</v>
      </c>
      <c r="H1251" t="s">
        <v>448</v>
      </c>
      <c r="I1251" t="s">
        <v>490</v>
      </c>
      <c r="J1251" t="s">
        <v>491</v>
      </c>
    </row>
    <row r="1252" spans="1:10" hidden="1" x14ac:dyDescent="0.25">
      <c r="A1252" t="s">
        <v>317</v>
      </c>
      <c r="B1252" t="s">
        <v>6</v>
      </c>
      <c r="C1252" t="s">
        <v>7</v>
      </c>
      <c r="D1252" t="s">
        <v>27</v>
      </c>
      <c r="E1252" s="2">
        <v>43336.152268518519</v>
      </c>
      <c r="F1252" t="s">
        <v>587</v>
      </c>
      <c r="G1252" t="s">
        <v>458</v>
      </c>
      <c r="H1252" t="s">
        <v>454</v>
      </c>
      <c r="I1252" t="s">
        <v>490</v>
      </c>
      <c r="J1252" t="s">
        <v>491</v>
      </c>
    </row>
    <row r="1253" spans="1:10" hidden="1" x14ac:dyDescent="0.25">
      <c r="A1253" t="s">
        <v>36</v>
      </c>
      <c r="B1253" t="s">
        <v>6</v>
      </c>
      <c r="C1253" t="s">
        <v>7</v>
      </c>
      <c r="D1253" t="s">
        <v>10</v>
      </c>
      <c r="E1253" s="2">
        <v>43336.152407407404</v>
      </c>
      <c r="F1253" t="s">
        <v>585</v>
      </c>
      <c r="G1253" t="s">
        <v>318</v>
      </c>
      <c r="H1253" t="s">
        <v>445</v>
      </c>
      <c r="I1253" t="s">
        <v>494</v>
      </c>
      <c r="J1253" t="s">
        <v>495</v>
      </c>
    </row>
    <row r="1254" spans="1:10" hidden="1" x14ac:dyDescent="0.25">
      <c r="A1254" t="s">
        <v>60</v>
      </c>
      <c r="B1254" t="s">
        <v>6</v>
      </c>
      <c r="C1254" t="s">
        <v>7</v>
      </c>
      <c r="D1254" t="s">
        <v>10</v>
      </c>
      <c r="E1254" s="2">
        <v>43336.15253472222</v>
      </c>
      <c r="F1254" t="s">
        <v>299</v>
      </c>
      <c r="G1254" t="s">
        <v>318</v>
      </c>
      <c r="H1254" t="s">
        <v>447</v>
      </c>
      <c r="I1254" t="s">
        <v>558</v>
      </c>
      <c r="J1254" t="s">
        <v>559</v>
      </c>
    </row>
    <row r="1255" spans="1:10" hidden="1" x14ac:dyDescent="0.25">
      <c r="A1255" t="s">
        <v>11</v>
      </c>
      <c r="B1255" t="s">
        <v>6</v>
      </c>
      <c r="C1255" t="s">
        <v>7</v>
      </c>
      <c r="D1255" t="s">
        <v>10</v>
      </c>
      <c r="E1255" s="2">
        <v>43336.152615740742</v>
      </c>
      <c r="F1255" t="s">
        <v>590</v>
      </c>
      <c r="G1255" t="s">
        <v>429</v>
      </c>
      <c r="H1255" t="s">
        <v>430</v>
      </c>
      <c r="I1255" t="s">
        <v>494</v>
      </c>
      <c r="J1255" t="s">
        <v>533</v>
      </c>
    </row>
    <row r="1256" spans="1:10" hidden="1" x14ac:dyDescent="0.25">
      <c r="A1256" t="s">
        <v>70</v>
      </c>
      <c r="B1256" t="s">
        <v>6</v>
      </c>
      <c r="C1256" t="s">
        <v>7</v>
      </c>
      <c r="D1256" t="s">
        <v>27</v>
      </c>
      <c r="E1256" s="2">
        <v>43336.152638888889</v>
      </c>
      <c r="F1256" t="s">
        <v>300</v>
      </c>
      <c r="G1256" t="s">
        <v>462</v>
      </c>
      <c r="H1256" t="s">
        <v>455</v>
      </c>
      <c r="I1256" t="s">
        <v>533</v>
      </c>
      <c r="J1256" t="s">
        <v>543</v>
      </c>
    </row>
    <row r="1257" spans="1:10" hidden="1" x14ac:dyDescent="0.25">
      <c r="A1257" t="s">
        <v>321</v>
      </c>
      <c r="B1257" t="s">
        <v>6</v>
      </c>
      <c r="C1257" t="s">
        <v>7</v>
      </c>
      <c r="D1257" t="s">
        <v>476</v>
      </c>
      <c r="E1257" s="2">
        <v>43336.152685185189</v>
      </c>
      <c r="F1257" t="s">
        <v>591</v>
      </c>
      <c r="G1257" t="s">
        <v>318</v>
      </c>
      <c r="H1257" t="s">
        <v>441</v>
      </c>
      <c r="I1257" t="s">
        <v>554</v>
      </c>
      <c r="J1257" t="s">
        <v>497</v>
      </c>
    </row>
    <row r="1258" spans="1:10" hidden="1" x14ac:dyDescent="0.25">
      <c r="A1258" t="s">
        <v>218</v>
      </c>
      <c r="B1258" t="s">
        <v>6</v>
      </c>
      <c r="C1258" t="s">
        <v>7</v>
      </c>
      <c r="D1258" t="s">
        <v>27</v>
      </c>
      <c r="E1258" s="2">
        <v>43336.152708333335</v>
      </c>
      <c r="F1258" t="s">
        <v>298</v>
      </c>
      <c r="G1258" t="s">
        <v>318</v>
      </c>
      <c r="H1258" t="s">
        <v>445</v>
      </c>
      <c r="I1258" t="s">
        <v>492</v>
      </c>
      <c r="J1258" t="s">
        <v>493</v>
      </c>
    </row>
    <row r="1259" spans="1:10" hidden="1" x14ac:dyDescent="0.25">
      <c r="A1259" t="s">
        <v>243</v>
      </c>
      <c r="B1259" t="s">
        <v>6</v>
      </c>
      <c r="C1259" t="s">
        <v>7</v>
      </c>
      <c r="D1259" t="s">
        <v>13</v>
      </c>
      <c r="E1259" s="2">
        <v>43336.152743055558</v>
      </c>
      <c r="F1259" t="s">
        <v>303</v>
      </c>
      <c r="G1259" t="s">
        <v>428</v>
      </c>
      <c r="H1259" t="s">
        <v>461</v>
      </c>
      <c r="I1259" t="s">
        <v>494</v>
      </c>
      <c r="J1259" t="s">
        <v>544</v>
      </c>
    </row>
    <row r="1260" spans="1:10" hidden="1" x14ac:dyDescent="0.25">
      <c r="A1260" t="s">
        <v>370</v>
      </c>
      <c r="B1260" t="s">
        <v>6</v>
      </c>
      <c r="C1260" t="s">
        <v>7</v>
      </c>
      <c r="D1260" t="s">
        <v>10</v>
      </c>
      <c r="E1260" s="2">
        <v>43336.15289351852</v>
      </c>
      <c r="F1260" t="s">
        <v>587</v>
      </c>
      <c r="G1260" t="s">
        <v>458</v>
      </c>
      <c r="H1260" t="s">
        <v>455</v>
      </c>
      <c r="I1260" t="s">
        <v>490</v>
      </c>
      <c r="J1260" t="s">
        <v>491</v>
      </c>
    </row>
    <row r="1261" spans="1:10" hidden="1" x14ac:dyDescent="0.25">
      <c r="A1261" t="s">
        <v>195</v>
      </c>
      <c r="B1261" t="s">
        <v>6</v>
      </c>
      <c r="C1261" t="s">
        <v>7</v>
      </c>
      <c r="D1261" t="s">
        <v>10</v>
      </c>
      <c r="E1261" s="2">
        <v>43336.153032407405</v>
      </c>
      <c r="F1261" t="s">
        <v>585</v>
      </c>
      <c r="G1261" t="s">
        <v>318</v>
      </c>
      <c r="H1261" t="s">
        <v>446</v>
      </c>
      <c r="I1261" t="s">
        <v>494</v>
      </c>
      <c r="J1261" t="s">
        <v>495</v>
      </c>
    </row>
    <row r="1262" spans="1:10" hidden="1" x14ac:dyDescent="0.25">
      <c r="A1262" t="s">
        <v>59</v>
      </c>
      <c r="B1262" t="s">
        <v>6</v>
      </c>
      <c r="C1262" t="s">
        <v>7</v>
      </c>
      <c r="D1262" t="s">
        <v>10</v>
      </c>
      <c r="E1262" s="2">
        <v>43336.153194444443</v>
      </c>
      <c r="F1262" t="s">
        <v>299</v>
      </c>
      <c r="G1262" t="s">
        <v>318</v>
      </c>
      <c r="H1262" t="s">
        <v>448</v>
      </c>
      <c r="I1262" t="s">
        <v>558</v>
      </c>
      <c r="J1262" t="s">
        <v>559</v>
      </c>
    </row>
    <row r="1263" spans="1:10" hidden="1" x14ac:dyDescent="0.25">
      <c r="A1263" t="s">
        <v>9</v>
      </c>
      <c r="B1263" t="s">
        <v>6</v>
      </c>
      <c r="C1263" t="s">
        <v>7</v>
      </c>
      <c r="D1263" t="s">
        <v>476</v>
      </c>
      <c r="E1263" s="2">
        <v>43336.153240740743</v>
      </c>
      <c r="F1263" t="s">
        <v>590</v>
      </c>
      <c r="G1263" t="s">
        <v>429</v>
      </c>
      <c r="H1263" t="s">
        <v>431</v>
      </c>
      <c r="I1263" t="s">
        <v>494</v>
      </c>
      <c r="J1263" t="s">
        <v>533</v>
      </c>
    </row>
    <row r="1264" spans="1:10" hidden="1" x14ac:dyDescent="0.25">
      <c r="A1264" t="s">
        <v>52</v>
      </c>
      <c r="B1264" t="s">
        <v>6</v>
      </c>
      <c r="C1264" t="s">
        <v>7</v>
      </c>
      <c r="D1264" t="s">
        <v>10</v>
      </c>
      <c r="E1264" s="2">
        <v>43336.153275462966</v>
      </c>
      <c r="F1264" t="s">
        <v>300</v>
      </c>
      <c r="G1264" t="s">
        <v>462</v>
      </c>
      <c r="H1264" t="s">
        <v>456</v>
      </c>
      <c r="I1264" t="s">
        <v>533</v>
      </c>
      <c r="J1264" t="s">
        <v>543</v>
      </c>
    </row>
    <row r="1265" spans="1:10" hidden="1" x14ac:dyDescent="0.25">
      <c r="A1265" t="s">
        <v>356</v>
      </c>
      <c r="B1265" t="s">
        <v>6</v>
      </c>
      <c r="C1265" t="s">
        <v>7</v>
      </c>
      <c r="D1265" t="s">
        <v>476</v>
      </c>
      <c r="E1265" s="2">
        <v>43336.153310185182</v>
      </c>
      <c r="F1265" t="s">
        <v>591</v>
      </c>
      <c r="G1265" t="s">
        <v>318</v>
      </c>
      <c r="H1265" t="s">
        <v>442</v>
      </c>
      <c r="I1265" t="s">
        <v>554</v>
      </c>
      <c r="J1265" t="s">
        <v>497</v>
      </c>
    </row>
    <row r="1266" spans="1:10" hidden="1" x14ac:dyDescent="0.25">
      <c r="A1266" t="s">
        <v>162</v>
      </c>
      <c r="B1266" t="s">
        <v>6</v>
      </c>
      <c r="C1266" t="s">
        <v>7</v>
      </c>
      <c r="D1266" t="s">
        <v>10</v>
      </c>
      <c r="E1266" s="2">
        <v>43336.153321759259</v>
      </c>
      <c r="F1266" t="s">
        <v>298</v>
      </c>
      <c r="G1266" t="s">
        <v>318</v>
      </c>
      <c r="H1266" t="s">
        <v>446</v>
      </c>
      <c r="I1266" t="s">
        <v>492</v>
      </c>
      <c r="J1266" t="s">
        <v>493</v>
      </c>
    </row>
    <row r="1267" spans="1:10" hidden="1" x14ac:dyDescent="0.25">
      <c r="A1267" t="s">
        <v>129</v>
      </c>
      <c r="B1267" t="s">
        <v>6</v>
      </c>
      <c r="C1267" t="s">
        <v>7</v>
      </c>
      <c r="D1267" t="s">
        <v>476</v>
      </c>
      <c r="E1267" s="2">
        <v>43336.153368055559</v>
      </c>
      <c r="F1267" t="s">
        <v>303</v>
      </c>
      <c r="G1267" t="s">
        <v>428</v>
      </c>
      <c r="H1267" t="s">
        <v>462</v>
      </c>
      <c r="I1267" t="s">
        <v>494</v>
      </c>
      <c r="J1267" t="s">
        <v>544</v>
      </c>
    </row>
    <row r="1268" spans="1:10" hidden="1" x14ac:dyDescent="0.25">
      <c r="A1268" t="s">
        <v>367</v>
      </c>
      <c r="B1268" t="s">
        <v>6</v>
      </c>
      <c r="C1268" t="s">
        <v>7</v>
      </c>
      <c r="D1268" t="s">
        <v>10</v>
      </c>
      <c r="E1268" s="2">
        <v>43336.15351851852</v>
      </c>
      <c r="F1268" t="s">
        <v>587</v>
      </c>
      <c r="G1268" t="s">
        <v>458</v>
      </c>
      <c r="H1268" t="s">
        <v>456</v>
      </c>
      <c r="I1268" t="s">
        <v>490</v>
      </c>
      <c r="J1268" t="s">
        <v>491</v>
      </c>
    </row>
    <row r="1269" spans="1:10" hidden="1" x14ac:dyDescent="0.25">
      <c r="A1269" t="s">
        <v>35</v>
      </c>
      <c r="B1269" t="s">
        <v>6</v>
      </c>
      <c r="C1269" t="s">
        <v>7</v>
      </c>
      <c r="D1269" t="s">
        <v>10</v>
      </c>
      <c r="E1269" s="2">
        <v>43336.153657407405</v>
      </c>
      <c r="F1269" t="s">
        <v>585</v>
      </c>
      <c r="G1269" t="s">
        <v>318</v>
      </c>
      <c r="H1269" t="s">
        <v>447</v>
      </c>
      <c r="I1269" t="s">
        <v>494</v>
      </c>
      <c r="J1269" t="s">
        <v>495</v>
      </c>
    </row>
    <row r="1270" spans="1:10" hidden="1" x14ac:dyDescent="0.25">
      <c r="A1270" t="s">
        <v>57</v>
      </c>
      <c r="B1270" t="s">
        <v>6</v>
      </c>
      <c r="C1270" t="s">
        <v>7</v>
      </c>
      <c r="D1270" t="s">
        <v>10</v>
      </c>
      <c r="E1270" s="2">
        <v>43336.153831018521</v>
      </c>
      <c r="F1270" t="s">
        <v>299</v>
      </c>
      <c r="G1270" t="s">
        <v>318</v>
      </c>
      <c r="H1270" t="s">
        <v>449</v>
      </c>
      <c r="I1270" t="s">
        <v>558</v>
      </c>
      <c r="J1270" t="s">
        <v>559</v>
      </c>
    </row>
    <row r="1271" spans="1:10" hidden="1" x14ac:dyDescent="0.25">
      <c r="A1271" t="s">
        <v>51</v>
      </c>
      <c r="B1271" t="s">
        <v>6</v>
      </c>
      <c r="C1271" t="s">
        <v>7</v>
      </c>
      <c r="D1271" t="s">
        <v>10</v>
      </c>
      <c r="E1271" s="2">
        <v>43336.153900462959</v>
      </c>
      <c r="F1271" t="s">
        <v>300</v>
      </c>
      <c r="G1271" t="s">
        <v>462</v>
      </c>
      <c r="H1271" t="s">
        <v>426</v>
      </c>
      <c r="I1271" t="s">
        <v>533</v>
      </c>
      <c r="J1271" t="s">
        <v>543</v>
      </c>
    </row>
    <row r="1272" spans="1:10" hidden="1" x14ac:dyDescent="0.25">
      <c r="A1272" t="s">
        <v>5</v>
      </c>
      <c r="B1272" t="s">
        <v>6</v>
      </c>
      <c r="C1272" t="s">
        <v>7</v>
      </c>
      <c r="D1272" t="s">
        <v>27</v>
      </c>
      <c r="E1272" s="2">
        <v>43336.154004629629</v>
      </c>
      <c r="F1272" t="s">
        <v>590</v>
      </c>
      <c r="G1272" t="s">
        <v>429</v>
      </c>
      <c r="H1272" t="s">
        <v>432</v>
      </c>
      <c r="I1272" t="s">
        <v>513</v>
      </c>
      <c r="J1272" t="s">
        <v>513</v>
      </c>
    </row>
    <row r="1273" spans="1:10" hidden="1" x14ac:dyDescent="0.25">
      <c r="A1273" t="s">
        <v>221</v>
      </c>
      <c r="B1273" t="s">
        <v>6</v>
      </c>
      <c r="C1273" t="s">
        <v>7</v>
      </c>
      <c r="D1273" t="s">
        <v>27</v>
      </c>
      <c r="E1273" s="2">
        <v>43336.154062499998</v>
      </c>
      <c r="F1273" t="s">
        <v>298</v>
      </c>
      <c r="G1273" t="s">
        <v>318</v>
      </c>
      <c r="H1273" t="s">
        <v>447</v>
      </c>
      <c r="I1273" t="s">
        <v>492</v>
      </c>
      <c r="J1273" t="s">
        <v>493</v>
      </c>
    </row>
    <row r="1274" spans="1:10" hidden="1" x14ac:dyDescent="0.25">
      <c r="A1274" t="s">
        <v>425</v>
      </c>
      <c r="B1274" t="s">
        <v>6</v>
      </c>
      <c r="C1274" t="s">
        <v>7</v>
      </c>
      <c r="D1274" t="s">
        <v>13</v>
      </c>
      <c r="E1274" s="2">
        <v>43336.154062499998</v>
      </c>
      <c r="F1274" t="s">
        <v>591</v>
      </c>
      <c r="G1274" t="s">
        <v>318</v>
      </c>
      <c r="H1274" t="s">
        <v>443</v>
      </c>
      <c r="I1274" t="s">
        <v>554</v>
      </c>
      <c r="J1274" t="s">
        <v>497</v>
      </c>
    </row>
    <row r="1275" spans="1:10" hidden="1" x14ac:dyDescent="0.25">
      <c r="A1275" t="s">
        <v>136</v>
      </c>
      <c r="B1275" t="s">
        <v>6</v>
      </c>
      <c r="C1275" t="s">
        <v>7</v>
      </c>
      <c r="D1275" t="s">
        <v>13</v>
      </c>
      <c r="E1275" s="2">
        <v>43336.154108796298</v>
      </c>
      <c r="F1275" t="s">
        <v>303</v>
      </c>
      <c r="G1275" t="s">
        <v>428</v>
      </c>
      <c r="H1275" t="s">
        <v>453</v>
      </c>
      <c r="I1275" t="s">
        <v>494</v>
      </c>
      <c r="J1275" t="s">
        <v>544</v>
      </c>
    </row>
    <row r="1276" spans="1:10" hidden="1" x14ac:dyDescent="0.25">
      <c r="A1276" t="s">
        <v>368</v>
      </c>
      <c r="B1276" t="s">
        <v>6</v>
      </c>
      <c r="C1276" t="s">
        <v>7</v>
      </c>
      <c r="D1276" t="s">
        <v>10</v>
      </c>
      <c r="E1276" s="2">
        <v>43336.15415509259</v>
      </c>
      <c r="F1276" t="s">
        <v>587</v>
      </c>
      <c r="G1276" t="s">
        <v>458</v>
      </c>
      <c r="H1276" t="s">
        <v>426</v>
      </c>
      <c r="I1276" t="s">
        <v>490</v>
      </c>
      <c r="J1276" t="s">
        <v>491</v>
      </c>
    </row>
    <row r="1277" spans="1:10" hidden="1" x14ac:dyDescent="0.25">
      <c r="A1277" t="s">
        <v>34</v>
      </c>
      <c r="B1277" t="s">
        <v>6</v>
      </c>
      <c r="C1277" t="s">
        <v>7</v>
      </c>
      <c r="D1277" t="s">
        <v>476</v>
      </c>
      <c r="E1277" s="2">
        <v>43336.15425925926</v>
      </c>
      <c r="F1277" t="s">
        <v>585</v>
      </c>
      <c r="G1277" t="s">
        <v>318</v>
      </c>
      <c r="H1277" t="s">
        <v>448</v>
      </c>
      <c r="I1277" t="s">
        <v>494</v>
      </c>
      <c r="J1277" t="s">
        <v>495</v>
      </c>
    </row>
    <row r="1278" spans="1:10" hidden="1" x14ac:dyDescent="0.25">
      <c r="A1278" t="s">
        <v>154</v>
      </c>
      <c r="B1278" t="s">
        <v>6</v>
      </c>
      <c r="C1278" t="s">
        <v>7</v>
      </c>
      <c r="D1278" t="s">
        <v>476</v>
      </c>
      <c r="E1278" s="2">
        <v>43336.154502314814</v>
      </c>
      <c r="F1278" t="s">
        <v>299</v>
      </c>
      <c r="G1278" t="s">
        <v>318</v>
      </c>
      <c r="H1278" t="s">
        <v>450</v>
      </c>
      <c r="I1278" t="s">
        <v>558</v>
      </c>
      <c r="J1278" t="s">
        <v>559</v>
      </c>
    </row>
    <row r="1279" spans="1:10" hidden="1" x14ac:dyDescent="0.25">
      <c r="A1279" t="s">
        <v>90</v>
      </c>
      <c r="B1279" t="s">
        <v>6</v>
      </c>
      <c r="C1279" t="s">
        <v>7</v>
      </c>
      <c r="D1279" t="s">
        <v>27</v>
      </c>
      <c r="E1279" s="2">
        <v>43336.154652777775</v>
      </c>
      <c r="F1279" t="s">
        <v>300</v>
      </c>
      <c r="G1279" t="s">
        <v>462</v>
      </c>
      <c r="H1279" t="s">
        <v>427</v>
      </c>
      <c r="I1279" t="s">
        <v>533</v>
      </c>
      <c r="J1279" t="s">
        <v>543</v>
      </c>
    </row>
    <row r="1280" spans="1:10" hidden="1" x14ac:dyDescent="0.25">
      <c r="A1280" t="s">
        <v>114</v>
      </c>
      <c r="B1280" t="s">
        <v>6</v>
      </c>
      <c r="C1280" t="s">
        <v>7</v>
      </c>
      <c r="D1280" t="s">
        <v>10</v>
      </c>
      <c r="E1280" s="2">
        <v>43336.154687499999</v>
      </c>
      <c r="F1280" t="s">
        <v>298</v>
      </c>
      <c r="G1280" t="s">
        <v>318</v>
      </c>
      <c r="H1280" t="s">
        <v>448</v>
      </c>
      <c r="I1280" t="s">
        <v>492</v>
      </c>
      <c r="J1280" t="s">
        <v>493</v>
      </c>
    </row>
    <row r="1281" spans="1:10" hidden="1" x14ac:dyDescent="0.25">
      <c r="A1281" t="s">
        <v>283</v>
      </c>
      <c r="B1281" t="s">
        <v>6</v>
      </c>
      <c r="C1281" t="s">
        <v>7</v>
      </c>
      <c r="D1281" t="s">
        <v>13</v>
      </c>
      <c r="E1281" s="2">
        <v>43336.154768518521</v>
      </c>
      <c r="F1281" t="s">
        <v>590</v>
      </c>
      <c r="G1281" t="s">
        <v>429</v>
      </c>
      <c r="H1281" t="s">
        <v>433</v>
      </c>
      <c r="I1281" t="s">
        <v>513</v>
      </c>
      <c r="J1281" t="s">
        <v>513</v>
      </c>
    </row>
    <row r="1282" spans="1:10" hidden="1" x14ac:dyDescent="0.25">
      <c r="A1282" t="s">
        <v>330</v>
      </c>
      <c r="B1282" t="s">
        <v>6</v>
      </c>
      <c r="C1282" t="s">
        <v>7</v>
      </c>
      <c r="D1282" t="s">
        <v>13</v>
      </c>
      <c r="E1282" s="2">
        <v>43336.154826388891</v>
      </c>
      <c r="F1282" t="s">
        <v>591</v>
      </c>
      <c r="G1282" t="s">
        <v>318</v>
      </c>
      <c r="H1282" t="s">
        <v>444</v>
      </c>
      <c r="I1282" t="s">
        <v>554</v>
      </c>
      <c r="J1282" t="s">
        <v>497</v>
      </c>
    </row>
    <row r="1283" spans="1:10" hidden="1" x14ac:dyDescent="0.25">
      <c r="A1283" t="s">
        <v>280</v>
      </c>
      <c r="B1283" t="s">
        <v>6</v>
      </c>
      <c r="C1283" t="s">
        <v>7</v>
      </c>
      <c r="D1283" t="s">
        <v>13</v>
      </c>
      <c r="E1283" s="2">
        <v>43336.154849537037</v>
      </c>
      <c r="F1283" t="s">
        <v>303</v>
      </c>
      <c r="G1283" t="s">
        <v>428</v>
      </c>
      <c r="H1283" t="s">
        <v>454</v>
      </c>
      <c r="I1283" t="s">
        <v>494</v>
      </c>
      <c r="J1283" t="s">
        <v>544</v>
      </c>
    </row>
    <row r="1284" spans="1:10" hidden="1" x14ac:dyDescent="0.25">
      <c r="A1284" t="s">
        <v>386</v>
      </c>
      <c r="B1284" t="s">
        <v>306</v>
      </c>
      <c r="C1284" t="s">
        <v>306</v>
      </c>
      <c r="D1284" t="s">
        <v>307</v>
      </c>
      <c r="E1284" s="2">
        <v>43336.15488425926</v>
      </c>
      <c r="F1284" t="s">
        <v>586</v>
      </c>
      <c r="G1284" t="s">
        <v>318</v>
      </c>
      <c r="H1284" t="s">
        <v>449</v>
      </c>
      <c r="I1284" t="s">
        <v>490</v>
      </c>
      <c r="J1284" t="s">
        <v>491</v>
      </c>
    </row>
    <row r="1285" spans="1:10" hidden="1" x14ac:dyDescent="0.25">
      <c r="A1285" t="s">
        <v>33</v>
      </c>
      <c r="B1285" t="s">
        <v>6</v>
      </c>
      <c r="C1285" t="s">
        <v>7</v>
      </c>
      <c r="D1285" t="s">
        <v>10</v>
      </c>
      <c r="E1285" s="2">
        <v>43336.15488425926</v>
      </c>
      <c r="F1285" t="s">
        <v>585</v>
      </c>
      <c r="G1285" t="s">
        <v>318</v>
      </c>
      <c r="H1285" t="s">
        <v>449</v>
      </c>
      <c r="I1285" t="s">
        <v>494</v>
      </c>
      <c r="J1285" t="s">
        <v>495</v>
      </c>
    </row>
    <row r="1286" spans="1:10" hidden="1" x14ac:dyDescent="0.25">
      <c r="A1286" t="s">
        <v>371</v>
      </c>
      <c r="B1286" t="s">
        <v>6</v>
      </c>
      <c r="C1286" t="s">
        <v>7</v>
      </c>
      <c r="D1286" t="s">
        <v>27</v>
      </c>
      <c r="E1286" s="2">
        <v>43336.154907407406</v>
      </c>
      <c r="F1286" t="s">
        <v>587</v>
      </c>
      <c r="G1286" t="s">
        <v>458</v>
      </c>
      <c r="H1286" t="s">
        <v>427</v>
      </c>
      <c r="I1286" t="s">
        <v>490</v>
      </c>
      <c r="J1286" t="s">
        <v>491</v>
      </c>
    </row>
    <row r="1287" spans="1:10" hidden="1" x14ac:dyDescent="0.25">
      <c r="A1287" t="s">
        <v>56</v>
      </c>
      <c r="B1287" t="s">
        <v>6</v>
      </c>
      <c r="C1287" t="s">
        <v>7</v>
      </c>
      <c r="D1287" t="s">
        <v>10</v>
      </c>
      <c r="E1287" s="2">
        <v>43336.155138888891</v>
      </c>
      <c r="F1287" t="s">
        <v>299</v>
      </c>
      <c r="G1287" t="s">
        <v>318</v>
      </c>
      <c r="H1287" t="s">
        <v>451</v>
      </c>
      <c r="I1287" t="s">
        <v>558</v>
      </c>
      <c r="J1287" t="s">
        <v>559</v>
      </c>
    </row>
    <row r="1288" spans="1:10" hidden="1" x14ac:dyDescent="0.25">
      <c r="A1288" t="s">
        <v>106</v>
      </c>
      <c r="B1288" t="s">
        <v>6</v>
      </c>
      <c r="C1288" t="s">
        <v>7</v>
      </c>
      <c r="D1288" t="s">
        <v>27</v>
      </c>
      <c r="E1288" s="2">
        <v>43336.155416666668</v>
      </c>
      <c r="F1288" t="s">
        <v>300</v>
      </c>
      <c r="G1288" t="s">
        <v>462</v>
      </c>
      <c r="H1288" t="s">
        <v>428</v>
      </c>
      <c r="I1288" t="s">
        <v>533</v>
      </c>
      <c r="J1288" t="s">
        <v>543</v>
      </c>
    </row>
    <row r="1289" spans="1:10" hidden="1" x14ac:dyDescent="0.25">
      <c r="A1289" t="s">
        <v>158</v>
      </c>
      <c r="B1289" t="s">
        <v>6</v>
      </c>
      <c r="C1289" t="s">
        <v>7</v>
      </c>
      <c r="D1289" t="s">
        <v>27</v>
      </c>
      <c r="E1289" s="2">
        <v>43336.155428240738</v>
      </c>
      <c r="F1289" t="s">
        <v>298</v>
      </c>
      <c r="G1289" t="s">
        <v>318</v>
      </c>
      <c r="H1289" t="s">
        <v>449</v>
      </c>
      <c r="I1289" t="s">
        <v>492</v>
      </c>
      <c r="J1289" t="s">
        <v>493</v>
      </c>
    </row>
    <row r="1290" spans="1:10" hidden="1" x14ac:dyDescent="0.25">
      <c r="A1290" t="s">
        <v>32</v>
      </c>
      <c r="B1290" t="s">
        <v>6</v>
      </c>
      <c r="C1290" t="s">
        <v>7</v>
      </c>
      <c r="D1290" t="s">
        <v>476</v>
      </c>
      <c r="E1290" s="2">
        <v>43336.155497685184</v>
      </c>
      <c r="F1290" t="s">
        <v>585</v>
      </c>
      <c r="G1290" t="s">
        <v>318</v>
      </c>
      <c r="H1290" t="s">
        <v>450</v>
      </c>
      <c r="I1290" t="s">
        <v>494</v>
      </c>
      <c r="J1290" t="s">
        <v>495</v>
      </c>
    </row>
    <row r="1291" spans="1:10" hidden="1" x14ac:dyDescent="0.25">
      <c r="A1291" t="s">
        <v>86</v>
      </c>
      <c r="B1291" t="s">
        <v>6</v>
      </c>
      <c r="C1291" t="s">
        <v>7</v>
      </c>
      <c r="D1291" t="s">
        <v>27</v>
      </c>
      <c r="E1291" s="2">
        <v>43336.155532407407</v>
      </c>
      <c r="F1291" t="s">
        <v>590</v>
      </c>
      <c r="G1291" t="s">
        <v>429</v>
      </c>
      <c r="H1291" t="s">
        <v>434</v>
      </c>
      <c r="I1291" t="s">
        <v>513</v>
      </c>
      <c r="J1291" t="s">
        <v>513</v>
      </c>
    </row>
    <row r="1292" spans="1:10" hidden="1" x14ac:dyDescent="0.25">
      <c r="A1292" t="s">
        <v>372</v>
      </c>
      <c r="B1292" t="s">
        <v>6</v>
      </c>
      <c r="C1292" t="s">
        <v>7</v>
      </c>
      <c r="D1292" t="s">
        <v>10</v>
      </c>
      <c r="E1292" s="2">
        <v>43336.155543981484</v>
      </c>
      <c r="F1292" t="s">
        <v>587</v>
      </c>
      <c r="G1292" t="s">
        <v>458</v>
      </c>
      <c r="H1292" t="s">
        <v>428</v>
      </c>
      <c r="I1292" t="s">
        <v>490</v>
      </c>
      <c r="J1292" t="s">
        <v>491</v>
      </c>
    </row>
    <row r="1293" spans="1:10" hidden="1" x14ac:dyDescent="0.25">
      <c r="A1293" t="s">
        <v>422</v>
      </c>
      <c r="B1293" t="s">
        <v>6</v>
      </c>
      <c r="C1293" t="s">
        <v>7</v>
      </c>
      <c r="D1293" t="s">
        <v>13</v>
      </c>
      <c r="E1293" s="2">
        <v>43336.155590277776</v>
      </c>
      <c r="F1293" t="s">
        <v>591</v>
      </c>
      <c r="G1293" t="s">
        <v>318</v>
      </c>
      <c r="H1293" t="s">
        <v>445</v>
      </c>
      <c r="I1293" t="s">
        <v>554</v>
      </c>
      <c r="J1293" t="s">
        <v>497</v>
      </c>
    </row>
    <row r="1294" spans="1:10" hidden="1" x14ac:dyDescent="0.25">
      <c r="A1294" t="s">
        <v>128</v>
      </c>
      <c r="B1294" t="s">
        <v>6</v>
      </c>
      <c r="C1294" t="s">
        <v>7</v>
      </c>
      <c r="D1294" t="s">
        <v>13</v>
      </c>
      <c r="E1294" s="2">
        <v>43336.155613425923</v>
      </c>
      <c r="F1294" t="s">
        <v>303</v>
      </c>
      <c r="G1294" t="s">
        <v>428</v>
      </c>
      <c r="H1294" t="s">
        <v>455</v>
      </c>
      <c r="I1294" t="s">
        <v>494</v>
      </c>
      <c r="J1294" t="s">
        <v>544</v>
      </c>
    </row>
    <row r="1295" spans="1:10" hidden="1" x14ac:dyDescent="0.25">
      <c r="A1295" t="s">
        <v>78</v>
      </c>
      <c r="B1295" t="s">
        <v>6</v>
      </c>
      <c r="C1295" t="s">
        <v>7</v>
      </c>
      <c r="D1295" t="s">
        <v>27</v>
      </c>
      <c r="E1295" s="2">
        <v>43336.1559375</v>
      </c>
      <c r="F1295" t="s">
        <v>299</v>
      </c>
      <c r="G1295" t="s">
        <v>318</v>
      </c>
      <c r="H1295" t="s">
        <v>452</v>
      </c>
      <c r="I1295" t="s">
        <v>558</v>
      </c>
      <c r="J1295" t="s">
        <v>559</v>
      </c>
    </row>
    <row r="1296" spans="1:10" hidden="1" x14ac:dyDescent="0.25">
      <c r="A1296" t="s">
        <v>16</v>
      </c>
      <c r="B1296" t="s">
        <v>6</v>
      </c>
      <c r="C1296" t="s">
        <v>7</v>
      </c>
      <c r="D1296" t="s">
        <v>10</v>
      </c>
      <c r="E1296" s="2">
        <v>43336.156053240738</v>
      </c>
      <c r="F1296" t="s">
        <v>298</v>
      </c>
      <c r="G1296" t="s">
        <v>318</v>
      </c>
      <c r="H1296" t="s">
        <v>450</v>
      </c>
      <c r="I1296" t="s">
        <v>492</v>
      </c>
      <c r="J1296" t="s">
        <v>493</v>
      </c>
    </row>
    <row r="1297" spans="1:10" hidden="1" x14ac:dyDescent="0.25">
      <c r="A1297" t="s">
        <v>50</v>
      </c>
      <c r="B1297" t="s">
        <v>6</v>
      </c>
      <c r="C1297" t="s">
        <v>7</v>
      </c>
      <c r="D1297" t="s">
        <v>10</v>
      </c>
      <c r="E1297" s="2">
        <v>43336.156053240738</v>
      </c>
      <c r="F1297" t="s">
        <v>300</v>
      </c>
      <c r="G1297" t="s">
        <v>462</v>
      </c>
      <c r="H1297" t="s">
        <v>429</v>
      </c>
      <c r="I1297" t="s">
        <v>533</v>
      </c>
      <c r="J1297" t="s">
        <v>543</v>
      </c>
    </row>
    <row r="1298" spans="1:10" hidden="1" x14ac:dyDescent="0.25">
      <c r="A1298" t="s">
        <v>296</v>
      </c>
      <c r="B1298" t="s">
        <v>6</v>
      </c>
      <c r="C1298" t="s">
        <v>7</v>
      </c>
      <c r="D1298" t="s">
        <v>476</v>
      </c>
      <c r="E1298" s="2">
        <v>43336.156111111108</v>
      </c>
      <c r="F1298" t="s">
        <v>585</v>
      </c>
      <c r="G1298" t="s">
        <v>318</v>
      </c>
      <c r="H1298" t="s">
        <v>451</v>
      </c>
      <c r="I1298" t="s">
        <v>494</v>
      </c>
      <c r="J1298" t="s">
        <v>495</v>
      </c>
    </row>
    <row r="1299" spans="1:10" hidden="1" x14ac:dyDescent="0.25">
      <c r="A1299" t="s">
        <v>373</v>
      </c>
      <c r="B1299" t="s">
        <v>6</v>
      </c>
      <c r="C1299" t="s">
        <v>7</v>
      </c>
      <c r="D1299" t="s">
        <v>10</v>
      </c>
      <c r="E1299" s="2">
        <v>43336.156180555554</v>
      </c>
      <c r="F1299" t="s">
        <v>587</v>
      </c>
      <c r="G1299" t="s">
        <v>458</v>
      </c>
      <c r="H1299" t="s">
        <v>429</v>
      </c>
      <c r="I1299" t="s">
        <v>563</v>
      </c>
      <c r="J1299" t="s">
        <v>491</v>
      </c>
    </row>
    <row r="1300" spans="1:10" hidden="1" x14ac:dyDescent="0.25">
      <c r="A1300" t="s">
        <v>116</v>
      </c>
      <c r="B1300" t="s">
        <v>6</v>
      </c>
      <c r="C1300" t="s">
        <v>7</v>
      </c>
      <c r="D1300" t="s">
        <v>13</v>
      </c>
      <c r="E1300" s="2">
        <v>43336.156307870369</v>
      </c>
      <c r="F1300" t="s">
        <v>590</v>
      </c>
      <c r="G1300" t="s">
        <v>429</v>
      </c>
      <c r="H1300" t="s">
        <v>435</v>
      </c>
      <c r="I1300" t="s">
        <v>513</v>
      </c>
      <c r="J1300" t="s">
        <v>513</v>
      </c>
    </row>
    <row r="1301" spans="1:10" hidden="1" x14ac:dyDescent="0.25">
      <c r="A1301" t="s">
        <v>388</v>
      </c>
      <c r="B1301" t="s">
        <v>6</v>
      </c>
      <c r="C1301" t="s">
        <v>7</v>
      </c>
      <c r="D1301" t="s">
        <v>13</v>
      </c>
      <c r="E1301" s="2">
        <v>43336.156354166669</v>
      </c>
      <c r="F1301" t="s">
        <v>591</v>
      </c>
      <c r="G1301" t="s">
        <v>318</v>
      </c>
      <c r="H1301" t="s">
        <v>446</v>
      </c>
      <c r="I1301" t="s">
        <v>554</v>
      </c>
      <c r="J1301" t="s">
        <v>497</v>
      </c>
    </row>
    <row r="1302" spans="1:10" hidden="1" x14ac:dyDescent="0.25">
      <c r="A1302" t="s">
        <v>126</v>
      </c>
      <c r="B1302" t="s">
        <v>6</v>
      </c>
      <c r="C1302" t="s">
        <v>7</v>
      </c>
      <c r="D1302" t="s">
        <v>13</v>
      </c>
      <c r="E1302" s="2">
        <v>43336.156377314815</v>
      </c>
      <c r="F1302" t="s">
        <v>303</v>
      </c>
      <c r="G1302" t="s">
        <v>428</v>
      </c>
      <c r="H1302" t="s">
        <v>456</v>
      </c>
      <c r="I1302" t="s">
        <v>494</v>
      </c>
      <c r="J1302" t="s">
        <v>544</v>
      </c>
    </row>
    <row r="1303" spans="1:10" hidden="1" x14ac:dyDescent="0.25">
      <c r="A1303" t="s">
        <v>113</v>
      </c>
      <c r="B1303" t="s">
        <v>6</v>
      </c>
      <c r="C1303" t="s">
        <v>7</v>
      </c>
      <c r="D1303" t="s">
        <v>10</v>
      </c>
      <c r="E1303" s="2">
        <v>43336.156678240739</v>
      </c>
      <c r="F1303" t="s">
        <v>298</v>
      </c>
      <c r="G1303" t="s">
        <v>318</v>
      </c>
      <c r="H1303" t="s">
        <v>451</v>
      </c>
      <c r="I1303" t="s">
        <v>492</v>
      </c>
      <c r="J1303" t="s">
        <v>493</v>
      </c>
    </row>
    <row r="1304" spans="1:10" hidden="1" x14ac:dyDescent="0.25">
      <c r="A1304" t="s">
        <v>49</v>
      </c>
      <c r="B1304" t="s">
        <v>6</v>
      </c>
      <c r="C1304" t="s">
        <v>7</v>
      </c>
      <c r="D1304" t="s">
        <v>10</v>
      </c>
      <c r="E1304" s="2">
        <v>43336.156689814816</v>
      </c>
      <c r="F1304" t="s">
        <v>300</v>
      </c>
      <c r="G1304" t="s">
        <v>462</v>
      </c>
      <c r="H1304" t="s">
        <v>430</v>
      </c>
      <c r="I1304" t="s">
        <v>533</v>
      </c>
      <c r="J1304" t="s">
        <v>543</v>
      </c>
    </row>
    <row r="1305" spans="1:10" hidden="1" x14ac:dyDescent="0.25">
      <c r="A1305" t="s">
        <v>31</v>
      </c>
      <c r="B1305" t="s">
        <v>6</v>
      </c>
      <c r="C1305" t="s">
        <v>7</v>
      </c>
      <c r="D1305" t="s">
        <v>476</v>
      </c>
      <c r="E1305" s="2">
        <v>43336.156736111108</v>
      </c>
      <c r="F1305" t="s">
        <v>585</v>
      </c>
      <c r="G1305" t="s">
        <v>318</v>
      </c>
      <c r="H1305" t="s">
        <v>452</v>
      </c>
      <c r="I1305" t="s">
        <v>494</v>
      </c>
      <c r="J1305" t="s">
        <v>495</v>
      </c>
    </row>
    <row r="1306" spans="1:10" hidden="1" x14ac:dyDescent="0.25">
      <c r="A1306" t="s">
        <v>374</v>
      </c>
      <c r="B1306" t="s">
        <v>6</v>
      </c>
      <c r="C1306" t="s">
        <v>7</v>
      </c>
      <c r="D1306" t="s">
        <v>10</v>
      </c>
      <c r="E1306" s="2">
        <v>43336.156817129631</v>
      </c>
      <c r="F1306" t="s">
        <v>587</v>
      </c>
      <c r="G1306" t="s">
        <v>458</v>
      </c>
      <c r="H1306" t="s">
        <v>430</v>
      </c>
      <c r="I1306" t="s">
        <v>564</v>
      </c>
      <c r="J1306" t="s">
        <v>491</v>
      </c>
    </row>
    <row r="1307" spans="1:10" hidden="1" x14ac:dyDescent="0.25">
      <c r="A1307" t="s">
        <v>85</v>
      </c>
      <c r="B1307" t="s">
        <v>6</v>
      </c>
      <c r="C1307" t="s">
        <v>7</v>
      </c>
      <c r="D1307" t="s">
        <v>476</v>
      </c>
      <c r="E1307" s="2">
        <v>43336.156944444447</v>
      </c>
      <c r="F1307" t="s">
        <v>590</v>
      </c>
      <c r="G1307" t="s">
        <v>429</v>
      </c>
      <c r="H1307" t="s">
        <v>436</v>
      </c>
      <c r="I1307" t="s">
        <v>513</v>
      </c>
      <c r="J1307" t="s">
        <v>513</v>
      </c>
    </row>
    <row r="1308" spans="1:10" hidden="1" x14ac:dyDescent="0.25">
      <c r="A1308" t="s">
        <v>125</v>
      </c>
      <c r="B1308" t="s">
        <v>6</v>
      </c>
      <c r="C1308" t="s">
        <v>7</v>
      </c>
      <c r="D1308" t="s">
        <v>476</v>
      </c>
      <c r="E1308" s="2">
        <v>43336.157037037039</v>
      </c>
      <c r="F1308" t="s">
        <v>303</v>
      </c>
      <c r="G1308" t="s">
        <v>428</v>
      </c>
      <c r="H1308" t="s">
        <v>426</v>
      </c>
      <c r="I1308" t="s">
        <v>494</v>
      </c>
      <c r="J1308" t="s">
        <v>544</v>
      </c>
    </row>
    <row r="1309" spans="1:10" hidden="1" x14ac:dyDescent="0.25">
      <c r="A1309" t="s">
        <v>333</v>
      </c>
      <c r="B1309" t="s">
        <v>6</v>
      </c>
      <c r="C1309" t="s">
        <v>7</v>
      </c>
      <c r="D1309" t="s">
        <v>27</v>
      </c>
      <c r="E1309" s="2">
        <v>43336.157141203701</v>
      </c>
      <c r="F1309" t="s">
        <v>591</v>
      </c>
      <c r="G1309" t="s">
        <v>318</v>
      </c>
      <c r="H1309" t="s">
        <v>447</v>
      </c>
      <c r="I1309" t="s">
        <v>554</v>
      </c>
      <c r="J1309" t="s">
        <v>497</v>
      </c>
    </row>
    <row r="1310" spans="1:10" hidden="1" x14ac:dyDescent="0.25">
      <c r="A1310" t="s">
        <v>112</v>
      </c>
      <c r="B1310" t="s">
        <v>6</v>
      </c>
      <c r="C1310" t="s">
        <v>7</v>
      </c>
      <c r="D1310" t="s">
        <v>10</v>
      </c>
      <c r="E1310" s="2">
        <v>43336.15730324074</v>
      </c>
      <c r="F1310" t="s">
        <v>298</v>
      </c>
      <c r="G1310" t="s">
        <v>318</v>
      </c>
      <c r="H1310" t="s">
        <v>452</v>
      </c>
      <c r="I1310" t="s">
        <v>492</v>
      </c>
      <c r="J1310" t="s">
        <v>493</v>
      </c>
    </row>
    <row r="1311" spans="1:10" hidden="1" x14ac:dyDescent="0.25">
      <c r="A1311" t="s">
        <v>375</v>
      </c>
      <c r="B1311" t="s">
        <v>6</v>
      </c>
      <c r="C1311" t="s">
        <v>7</v>
      </c>
      <c r="D1311" t="s">
        <v>10</v>
      </c>
      <c r="E1311" s="2">
        <v>43336.157453703701</v>
      </c>
      <c r="F1311" t="s">
        <v>587</v>
      </c>
      <c r="G1311" t="s">
        <v>458</v>
      </c>
      <c r="H1311" t="s">
        <v>431</v>
      </c>
      <c r="I1311" t="s">
        <v>566</v>
      </c>
      <c r="J1311" t="s">
        <v>491</v>
      </c>
    </row>
    <row r="1312" spans="1:10" hidden="1" x14ac:dyDescent="0.25">
      <c r="A1312" t="s">
        <v>84</v>
      </c>
      <c r="B1312" t="s">
        <v>6</v>
      </c>
      <c r="C1312" t="s">
        <v>7</v>
      </c>
      <c r="D1312" t="s">
        <v>10</v>
      </c>
      <c r="E1312" s="2">
        <v>43336.157569444447</v>
      </c>
      <c r="F1312" t="s">
        <v>590</v>
      </c>
      <c r="G1312" t="s">
        <v>429</v>
      </c>
      <c r="H1312" t="s">
        <v>437</v>
      </c>
      <c r="I1312" t="s">
        <v>513</v>
      </c>
      <c r="J1312" t="s">
        <v>513</v>
      </c>
    </row>
    <row r="1313" spans="1:10" hidden="1" x14ac:dyDescent="0.25">
      <c r="A1313" t="s">
        <v>392</v>
      </c>
      <c r="B1313" t="s">
        <v>306</v>
      </c>
      <c r="C1313" t="s">
        <v>306</v>
      </c>
      <c r="D1313" t="s">
        <v>307</v>
      </c>
      <c r="E1313" s="2">
        <v>43336.157673611109</v>
      </c>
      <c r="F1313" t="s">
        <v>586</v>
      </c>
      <c r="G1313" t="s">
        <v>318</v>
      </c>
      <c r="H1313" t="s">
        <v>450</v>
      </c>
      <c r="I1313" t="s">
        <v>490</v>
      </c>
      <c r="J1313" t="s">
        <v>491</v>
      </c>
    </row>
    <row r="1314" spans="1:10" hidden="1" x14ac:dyDescent="0.25">
      <c r="A1314" t="s">
        <v>308</v>
      </c>
      <c r="B1314" t="s">
        <v>6</v>
      </c>
      <c r="C1314" t="s">
        <v>7</v>
      </c>
      <c r="D1314" t="s">
        <v>13</v>
      </c>
      <c r="E1314" s="2">
        <v>43336.157916666663</v>
      </c>
      <c r="F1314" t="s">
        <v>591</v>
      </c>
      <c r="G1314" t="s">
        <v>318</v>
      </c>
      <c r="H1314" t="s">
        <v>448</v>
      </c>
      <c r="I1314" t="s">
        <v>554</v>
      </c>
      <c r="J1314" t="s">
        <v>497</v>
      </c>
    </row>
    <row r="1315" spans="1:10" hidden="1" x14ac:dyDescent="0.25">
      <c r="A1315" t="s">
        <v>343</v>
      </c>
      <c r="B1315" t="s">
        <v>6</v>
      </c>
      <c r="C1315" t="s">
        <v>7</v>
      </c>
      <c r="D1315" t="s">
        <v>10</v>
      </c>
      <c r="E1315" s="2">
        <v>43336.158078703702</v>
      </c>
      <c r="F1315" t="s">
        <v>587</v>
      </c>
      <c r="G1315" t="s">
        <v>458</v>
      </c>
      <c r="H1315" t="s">
        <v>432</v>
      </c>
      <c r="I1315" t="s">
        <v>567</v>
      </c>
      <c r="J1315" t="s">
        <v>491</v>
      </c>
    </row>
    <row r="1316" spans="1:10" hidden="1" x14ac:dyDescent="0.25">
      <c r="A1316" t="s">
        <v>83</v>
      </c>
      <c r="B1316" t="s">
        <v>6</v>
      </c>
      <c r="C1316" t="s">
        <v>7</v>
      </c>
      <c r="D1316" t="s">
        <v>10</v>
      </c>
      <c r="E1316" s="2">
        <v>43336.158206018517</v>
      </c>
      <c r="F1316" t="s">
        <v>590</v>
      </c>
      <c r="G1316" t="s">
        <v>429</v>
      </c>
      <c r="H1316" t="s">
        <v>438</v>
      </c>
      <c r="I1316" t="s">
        <v>513</v>
      </c>
      <c r="J1316" t="s">
        <v>513</v>
      </c>
    </row>
    <row r="1317" spans="1:10" hidden="1" x14ac:dyDescent="0.25">
      <c r="A1317" t="s">
        <v>423</v>
      </c>
      <c r="B1317" t="s">
        <v>6</v>
      </c>
      <c r="C1317" t="s">
        <v>7</v>
      </c>
      <c r="D1317" t="s">
        <v>13</v>
      </c>
      <c r="E1317" s="2">
        <v>43336.158703703702</v>
      </c>
      <c r="F1317" t="s">
        <v>591</v>
      </c>
      <c r="G1317" t="s">
        <v>318</v>
      </c>
      <c r="H1317" t="s">
        <v>449</v>
      </c>
      <c r="I1317" t="s">
        <v>554</v>
      </c>
      <c r="J1317" t="s">
        <v>497</v>
      </c>
    </row>
    <row r="1318" spans="1:10" hidden="1" x14ac:dyDescent="0.25">
      <c r="A1318" t="s">
        <v>344</v>
      </c>
      <c r="B1318" t="s">
        <v>6</v>
      </c>
      <c r="C1318" t="s">
        <v>7</v>
      </c>
      <c r="D1318" t="s">
        <v>10</v>
      </c>
      <c r="E1318" s="2">
        <v>43336.158715277779</v>
      </c>
      <c r="F1318" t="s">
        <v>587</v>
      </c>
      <c r="G1318" t="s">
        <v>458</v>
      </c>
      <c r="H1318" t="s">
        <v>433</v>
      </c>
      <c r="I1318" t="s">
        <v>569</v>
      </c>
      <c r="J1318" t="s">
        <v>491</v>
      </c>
    </row>
    <row r="1319" spans="1:10" hidden="1" x14ac:dyDescent="0.25">
      <c r="A1319" t="s">
        <v>345</v>
      </c>
      <c r="B1319" t="s">
        <v>6</v>
      </c>
      <c r="C1319" t="s">
        <v>7</v>
      </c>
      <c r="D1319" t="s">
        <v>10</v>
      </c>
      <c r="E1319" s="2">
        <v>43336.159351851849</v>
      </c>
      <c r="F1319" t="s">
        <v>587</v>
      </c>
      <c r="G1319" t="s">
        <v>458</v>
      </c>
      <c r="H1319" t="s">
        <v>434</v>
      </c>
      <c r="I1319" t="s">
        <v>571</v>
      </c>
      <c r="J1319" t="s">
        <v>491</v>
      </c>
    </row>
    <row r="1320" spans="1:10" hidden="1" x14ac:dyDescent="0.25">
      <c r="A1320" t="s">
        <v>424</v>
      </c>
      <c r="B1320" t="s">
        <v>6</v>
      </c>
      <c r="C1320" t="s">
        <v>7</v>
      </c>
      <c r="D1320" t="s">
        <v>13</v>
      </c>
      <c r="E1320" s="2">
        <v>43336.159490740742</v>
      </c>
      <c r="F1320" t="s">
        <v>591</v>
      </c>
      <c r="G1320" t="s">
        <v>318</v>
      </c>
      <c r="H1320" t="s">
        <v>450</v>
      </c>
      <c r="I1320" t="s">
        <v>554</v>
      </c>
      <c r="J1320" t="s">
        <v>497</v>
      </c>
    </row>
    <row r="1321" spans="1:10" hidden="1" x14ac:dyDescent="0.25">
      <c r="A1321" t="s">
        <v>346</v>
      </c>
      <c r="B1321" t="s">
        <v>6</v>
      </c>
      <c r="C1321" t="s">
        <v>7</v>
      </c>
      <c r="D1321" t="s">
        <v>10</v>
      </c>
      <c r="E1321" s="2">
        <v>43336.159988425927</v>
      </c>
      <c r="F1321" t="s">
        <v>587</v>
      </c>
      <c r="G1321" t="s">
        <v>458</v>
      </c>
      <c r="H1321" t="s">
        <v>435</v>
      </c>
      <c r="I1321" t="s">
        <v>570</v>
      </c>
      <c r="J1321" t="s">
        <v>491</v>
      </c>
    </row>
    <row r="1322" spans="1:10" hidden="1" x14ac:dyDescent="0.25">
      <c r="A1322" t="s">
        <v>417</v>
      </c>
      <c r="B1322" t="s">
        <v>6</v>
      </c>
      <c r="C1322" t="s">
        <v>7</v>
      </c>
      <c r="D1322" t="s">
        <v>10</v>
      </c>
      <c r="E1322" s="2">
        <v>43336.160162037035</v>
      </c>
      <c r="F1322" t="s">
        <v>591</v>
      </c>
      <c r="G1322" t="s">
        <v>318</v>
      </c>
      <c r="H1322" t="s">
        <v>451</v>
      </c>
      <c r="I1322" t="s">
        <v>490</v>
      </c>
      <c r="J1322" t="s">
        <v>497</v>
      </c>
    </row>
    <row r="1323" spans="1:10" hidden="1" x14ac:dyDescent="0.25">
      <c r="A1323" t="s">
        <v>393</v>
      </c>
      <c r="B1323" t="s">
        <v>306</v>
      </c>
      <c r="C1323" t="s">
        <v>306</v>
      </c>
      <c r="D1323" t="s">
        <v>307</v>
      </c>
      <c r="E1323" s="2">
        <v>43336.160462962966</v>
      </c>
      <c r="F1323" t="s">
        <v>586</v>
      </c>
      <c r="G1323" t="s">
        <v>318</v>
      </c>
      <c r="H1323" t="s">
        <v>451</v>
      </c>
      <c r="I1323" t="s">
        <v>490</v>
      </c>
      <c r="J1323" t="s">
        <v>491</v>
      </c>
    </row>
    <row r="1324" spans="1:10" hidden="1" x14ac:dyDescent="0.25">
      <c r="A1324" t="s">
        <v>419</v>
      </c>
      <c r="B1324" t="s">
        <v>6</v>
      </c>
      <c r="C1324" t="s">
        <v>7</v>
      </c>
      <c r="D1324" t="s">
        <v>10</v>
      </c>
      <c r="E1324" s="2">
        <v>43336.160798611112</v>
      </c>
      <c r="F1324" t="s">
        <v>591</v>
      </c>
      <c r="G1324" t="s">
        <v>318</v>
      </c>
      <c r="H1324" t="s">
        <v>452</v>
      </c>
      <c r="I1324" t="s">
        <v>490</v>
      </c>
      <c r="J1324" t="s">
        <v>497</v>
      </c>
    </row>
    <row r="1325" spans="1:10" hidden="1" x14ac:dyDescent="0.25">
      <c r="A1325" t="s">
        <v>394</v>
      </c>
      <c r="B1325" t="s">
        <v>306</v>
      </c>
      <c r="C1325" t="s">
        <v>306</v>
      </c>
      <c r="D1325" t="s">
        <v>307</v>
      </c>
      <c r="E1325" s="2">
        <v>43336.163252314815</v>
      </c>
      <c r="F1325" t="s">
        <v>586</v>
      </c>
      <c r="G1325" t="s">
        <v>318</v>
      </c>
      <c r="H1325" t="s">
        <v>452</v>
      </c>
      <c r="I1325" t="s">
        <v>490</v>
      </c>
      <c r="J1325" t="s">
        <v>491</v>
      </c>
    </row>
    <row r="1326" spans="1:10" hidden="1" x14ac:dyDescent="0.25">
      <c r="A1326" t="s">
        <v>389</v>
      </c>
      <c r="B1326" t="s">
        <v>6</v>
      </c>
      <c r="C1326" t="s">
        <v>7</v>
      </c>
      <c r="D1326" t="s">
        <v>10</v>
      </c>
      <c r="E1326" s="2">
        <v>43336.166666666664</v>
      </c>
      <c r="F1326" t="s">
        <v>586</v>
      </c>
      <c r="G1326" t="s">
        <v>318</v>
      </c>
      <c r="H1326" t="s">
        <v>318</v>
      </c>
      <c r="I1326" t="s">
        <v>490</v>
      </c>
      <c r="J1326" t="s">
        <v>497</v>
      </c>
    </row>
    <row r="1327" spans="1:10" hidden="1" x14ac:dyDescent="0.25">
      <c r="A1327" t="s">
        <v>397</v>
      </c>
      <c r="B1327" t="s">
        <v>6</v>
      </c>
      <c r="C1327" t="s">
        <v>7</v>
      </c>
      <c r="D1327" t="s">
        <v>10</v>
      </c>
      <c r="E1327" s="2">
        <v>43336.167268518519</v>
      </c>
      <c r="F1327" t="s">
        <v>586</v>
      </c>
      <c r="G1327" t="s">
        <v>318</v>
      </c>
      <c r="H1327" t="s">
        <v>323</v>
      </c>
      <c r="I1327" t="s">
        <v>490</v>
      </c>
      <c r="J1327" t="s">
        <v>491</v>
      </c>
    </row>
    <row r="1328" spans="1:10" hidden="1" x14ac:dyDescent="0.25">
      <c r="A1328" t="s">
        <v>398</v>
      </c>
      <c r="B1328" t="s">
        <v>6</v>
      </c>
      <c r="C1328" t="s">
        <v>7</v>
      </c>
      <c r="D1328" t="s">
        <v>27</v>
      </c>
      <c r="E1328" s="2">
        <v>43336.168032407404</v>
      </c>
      <c r="F1328" t="s">
        <v>586</v>
      </c>
      <c r="G1328" t="s">
        <v>318</v>
      </c>
      <c r="H1328" t="s">
        <v>385</v>
      </c>
      <c r="I1328" t="s">
        <v>490</v>
      </c>
      <c r="J1328" t="s">
        <v>491</v>
      </c>
    </row>
    <row r="1329" spans="1:10" hidden="1" x14ac:dyDescent="0.25">
      <c r="A1329" t="s">
        <v>399</v>
      </c>
      <c r="B1329" t="s">
        <v>6</v>
      </c>
      <c r="C1329" t="s">
        <v>7</v>
      </c>
      <c r="D1329" t="s">
        <v>10</v>
      </c>
      <c r="E1329" s="2">
        <v>43336.168645833335</v>
      </c>
      <c r="F1329" t="s">
        <v>586</v>
      </c>
      <c r="G1329" t="s">
        <v>318</v>
      </c>
      <c r="H1329" t="s">
        <v>457</v>
      </c>
      <c r="I1329" t="s">
        <v>490</v>
      </c>
      <c r="J1329" t="s">
        <v>491</v>
      </c>
    </row>
    <row r="1330" spans="1:10" hidden="1" x14ac:dyDescent="0.25">
      <c r="A1330" t="s">
        <v>404</v>
      </c>
      <c r="B1330" t="s">
        <v>6</v>
      </c>
      <c r="C1330" t="s">
        <v>7</v>
      </c>
      <c r="D1330" t="s">
        <v>10</v>
      </c>
      <c r="E1330" s="2">
        <v>43336.169259259259</v>
      </c>
      <c r="F1330" t="s">
        <v>586</v>
      </c>
      <c r="G1330" t="s">
        <v>318</v>
      </c>
      <c r="H1330" t="s">
        <v>458</v>
      </c>
      <c r="I1330" t="s">
        <v>490</v>
      </c>
      <c r="J1330" t="s">
        <v>491</v>
      </c>
    </row>
    <row r="1331" spans="1:10" hidden="1" x14ac:dyDescent="0.25">
      <c r="A1331" t="s">
        <v>239</v>
      </c>
      <c r="B1331" t="s">
        <v>6</v>
      </c>
      <c r="C1331" t="s">
        <v>7</v>
      </c>
      <c r="D1331" t="s">
        <v>476</v>
      </c>
      <c r="E1331" s="2">
        <v>43336.169490740744</v>
      </c>
      <c r="F1331" t="s">
        <v>302</v>
      </c>
      <c r="G1331" t="s">
        <v>455</v>
      </c>
      <c r="H1331" t="s">
        <v>323</v>
      </c>
      <c r="I1331" t="s">
        <v>498</v>
      </c>
      <c r="J1331" t="s">
        <v>498</v>
      </c>
    </row>
    <row r="1332" spans="1:10" hidden="1" x14ac:dyDescent="0.25">
      <c r="A1332" t="s">
        <v>405</v>
      </c>
      <c r="B1332" t="s">
        <v>6</v>
      </c>
      <c r="C1332" t="s">
        <v>7</v>
      </c>
      <c r="D1332" t="s">
        <v>10</v>
      </c>
      <c r="E1332" s="2">
        <v>43336.169872685183</v>
      </c>
      <c r="F1332" t="s">
        <v>586</v>
      </c>
      <c r="G1332" t="s">
        <v>318</v>
      </c>
      <c r="H1332" t="s">
        <v>459</v>
      </c>
      <c r="I1332" t="s">
        <v>490</v>
      </c>
      <c r="J1332" t="s">
        <v>491</v>
      </c>
    </row>
    <row r="1333" spans="1:10" hidden="1" x14ac:dyDescent="0.25">
      <c r="A1333" t="s">
        <v>377</v>
      </c>
      <c r="B1333" t="s">
        <v>306</v>
      </c>
      <c r="C1333" t="s">
        <v>306</v>
      </c>
      <c r="D1333" t="s">
        <v>307</v>
      </c>
      <c r="E1333" s="2">
        <v>43336.170104166667</v>
      </c>
      <c r="F1333" t="s">
        <v>298</v>
      </c>
      <c r="G1333" t="s">
        <v>318</v>
      </c>
      <c r="H1333" t="s">
        <v>318</v>
      </c>
      <c r="I1333" t="s">
        <v>581</v>
      </c>
      <c r="J1333" t="s">
        <v>581</v>
      </c>
    </row>
    <row r="1334" spans="1:10" hidden="1" x14ac:dyDescent="0.25">
      <c r="A1334" t="s">
        <v>268</v>
      </c>
      <c r="B1334" t="s">
        <v>6</v>
      </c>
      <c r="C1334" t="s">
        <v>7</v>
      </c>
      <c r="D1334" t="s">
        <v>10</v>
      </c>
      <c r="E1334" s="2">
        <v>43336.170138888891</v>
      </c>
      <c r="F1334" t="s">
        <v>302</v>
      </c>
      <c r="G1334" t="s">
        <v>455</v>
      </c>
      <c r="H1334" t="s">
        <v>385</v>
      </c>
      <c r="I1334" t="s">
        <v>498</v>
      </c>
      <c r="J1334" t="s">
        <v>498</v>
      </c>
    </row>
    <row r="1335" spans="1:10" hidden="1" x14ac:dyDescent="0.25">
      <c r="A1335" t="s">
        <v>406</v>
      </c>
      <c r="B1335" t="s">
        <v>6</v>
      </c>
      <c r="C1335" t="s">
        <v>7</v>
      </c>
      <c r="D1335" t="s">
        <v>10</v>
      </c>
      <c r="E1335" s="2">
        <v>43336.170578703706</v>
      </c>
      <c r="F1335" t="s">
        <v>586</v>
      </c>
      <c r="G1335" t="s">
        <v>318</v>
      </c>
      <c r="H1335" t="s">
        <v>460</v>
      </c>
      <c r="I1335" t="s">
        <v>490</v>
      </c>
      <c r="J1335" t="s">
        <v>491</v>
      </c>
    </row>
    <row r="1336" spans="1:10" hidden="1" x14ac:dyDescent="0.25">
      <c r="A1336" t="s">
        <v>384</v>
      </c>
      <c r="B1336" t="s">
        <v>6</v>
      </c>
      <c r="C1336" t="s">
        <v>7</v>
      </c>
      <c r="D1336" t="s">
        <v>10</v>
      </c>
      <c r="E1336" s="2">
        <v>43336.170706018522</v>
      </c>
      <c r="F1336" t="s">
        <v>298</v>
      </c>
      <c r="G1336" t="s">
        <v>318</v>
      </c>
      <c r="H1336" t="s">
        <v>323</v>
      </c>
      <c r="I1336" t="s">
        <v>581</v>
      </c>
      <c r="J1336" t="s">
        <v>581</v>
      </c>
    </row>
    <row r="1337" spans="1:10" hidden="1" x14ac:dyDescent="0.25">
      <c r="A1337" t="s">
        <v>269</v>
      </c>
      <c r="B1337" t="s">
        <v>6</v>
      </c>
      <c r="C1337" t="s">
        <v>7</v>
      </c>
      <c r="D1337" t="s">
        <v>476</v>
      </c>
      <c r="E1337" s="2">
        <v>43336.170740740738</v>
      </c>
      <c r="F1337" t="s">
        <v>302</v>
      </c>
      <c r="G1337" t="s">
        <v>455</v>
      </c>
      <c r="H1337" t="s">
        <v>457</v>
      </c>
      <c r="I1337" t="s">
        <v>498</v>
      </c>
      <c r="J1337" t="s">
        <v>498</v>
      </c>
    </row>
    <row r="1338" spans="1:10" hidden="1" x14ac:dyDescent="0.25">
      <c r="A1338" t="s">
        <v>407</v>
      </c>
      <c r="B1338" t="s">
        <v>6</v>
      </c>
      <c r="C1338" t="s">
        <v>7</v>
      </c>
      <c r="D1338" t="s">
        <v>10</v>
      </c>
      <c r="E1338" s="2">
        <v>43336.17119212963</v>
      </c>
      <c r="F1338" t="s">
        <v>586</v>
      </c>
      <c r="G1338" t="s">
        <v>318</v>
      </c>
      <c r="H1338" t="s">
        <v>461</v>
      </c>
      <c r="I1338" t="s">
        <v>490</v>
      </c>
      <c r="J1338" t="s">
        <v>491</v>
      </c>
    </row>
    <row r="1339" spans="1:10" hidden="1" x14ac:dyDescent="0.25">
      <c r="A1339" t="s">
        <v>111</v>
      </c>
      <c r="B1339" t="s">
        <v>6</v>
      </c>
      <c r="C1339" t="s">
        <v>7</v>
      </c>
      <c r="D1339" t="s">
        <v>476</v>
      </c>
      <c r="E1339" s="2">
        <v>43336.171238425923</v>
      </c>
      <c r="F1339" t="s">
        <v>299</v>
      </c>
      <c r="G1339" t="s">
        <v>318</v>
      </c>
      <c r="H1339" t="s">
        <v>318</v>
      </c>
      <c r="I1339" t="s">
        <v>492</v>
      </c>
      <c r="J1339" t="s">
        <v>493</v>
      </c>
    </row>
    <row r="1340" spans="1:10" hidden="1" x14ac:dyDescent="0.25">
      <c r="A1340" t="s">
        <v>326</v>
      </c>
      <c r="B1340" t="s">
        <v>6</v>
      </c>
      <c r="C1340" t="s">
        <v>7</v>
      </c>
      <c r="D1340" t="s">
        <v>10</v>
      </c>
      <c r="E1340" s="2">
        <v>43336.171319444446</v>
      </c>
      <c r="F1340" t="s">
        <v>298</v>
      </c>
      <c r="G1340" t="s">
        <v>318</v>
      </c>
      <c r="H1340" t="s">
        <v>385</v>
      </c>
      <c r="I1340" t="s">
        <v>581</v>
      </c>
      <c r="J1340" t="s">
        <v>581</v>
      </c>
    </row>
    <row r="1341" spans="1:10" hidden="1" x14ac:dyDescent="0.25">
      <c r="A1341" t="s">
        <v>270</v>
      </c>
      <c r="B1341" t="s">
        <v>6</v>
      </c>
      <c r="C1341" t="s">
        <v>7</v>
      </c>
      <c r="D1341" t="s">
        <v>10</v>
      </c>
      <c r="E1341" s="2">
        <v>43336.171331018515</v>
      </c>
      <c r="F1341" t="s">
        <v>302</v>
      </c>
      <c r="G1341" t="s">
        <v>455</v>
      </c>
      <c r="H1341" t="s">
        <v>458</v>
      </c>
      <c r="I1341" t="s">
        <v>498</v>
      </c>
      <c r="J1341" t="s">
        <v>498</v>
      </c>
    </row>
    <row r="1342" spans="1:10" hidden="1" x14ac:dyDescent="0.25">
      <c r="A1342" t="s">
        <v>408</v>
      </c>
      <c r="B1342" t="s">
        <v>6</v>
      </c>
      <c r="C1342" t="s">
        <v>7</v>
      </c>
      <c r="D1342" t="s">
        <v>10</v>
      </c>
      <c r="E1342" s="2">
        <v>43336.171805555554</v>
      </c>
      <c r="F1342" t="s">
        <v>586</v>
      </c>
      <c r="G1342" t="s">
        <v>318</v>
      </c>
      <c r="H1342" t="s">
        <v>462</v>
      </c>
      <c r="I1342" t="s">
        <v>490</v>
      </c>
      <c r="J1342" t="s">
        <v>491</v>
      </c>
    </row>
    <row r="1343" spans="1:10" hidden="1" x14ac:dyDescent="0.25">
      <c r="A1343" t="s">
        <v>110</v>
      </c>
      <c r="B1343" t="s">
        <v>6</v>
      </c>
      <c r="C1343" t="s">
        <v>7</v>
      </c>
      <c r="D1343" t="s">
        <v>476</v>
      </c>
      <c r="E1343" s="2">
        <v>43336.171898148146</v>
      </c>
      <c r="F1343" t="s">
        <v>299</v>
      </c>
      <c r="G1343" t="s">
        <v>318</v>
      </c>
      <c r="H1343" t="s">
        <v>323</v>
      </c>
      <c r="I1343" t="s">
        <v>492</v>
      </c>
      <c r="J1343" t="s">
        <v>493</v>
      </c>
    </row>
    <row r="1344" spans="1:10" hidden="1" x14ac:dyDescent="0.25">
      <c r="A1344" t="s">
        <v>272</v>
      </c>
      <c r="B1344" t="s">
        <v>6</v>
      </c>
      <c r="C1344" t="s">
        <v>7</v>
      </c>
      <c r="D1344" t="s">
        <v>27</v>
      </c>
      <c r="E1344" s="2">
        <v>43336.171956018516</v>
      </c>
      <c r="F1344" t="s">
        <v>300</v>
      </c>
      <c r="G1344" t="s">
        <v>462</v>
      </c>
      <c r="H1344" t="s">
        <v>431</v>
      </c>
      <c r="I1344" t="s">
        <v>494</v>
      </c>
      <c r="J1344" t="s">
        <v>582</v>
      </c>
    </row>
    <row r="1345" spans="1:10" hidden="1" x14ac:dyDescent="0.25">
      <c r="A1345" t="s">
        <v>237</v>
      </c>
      <c r="B1345" t="s">
        <v>6</v>
      </c>
      <c r="C1345" t="s">
        <v>7</v>
      </c>
      <c r="D1345" t="s">
        <v>13</v>
      </c>
      <c r="E1345" s="2">
        <v>43336.172129629631</v>
      </c>
      <c r="F1345" t="s">
        <v>302</v>
      </c>
      <c r="G1345" t="s">
        <v>455</v>
      </c>
      <c r="H1345" t="s">
        <v>459</v>
      </c>
      <c r="I1345" t="s">
        <v>498</v>
      </c>
      <c r="J1345" t="s">
        <v>498</v>
      </c>
    </row>
    <row r="1346" spans="1:10" hidden="1" x14ac:dyDescent="0.25">
      <c r="A1346" t="s">
        <v>463</v>
      </c>
      <c r="B1346" t="s">
        <v>6</v>
      </c>
      <c r="C1346" t="s">
        <v>7</v>
      </c>
      <c r="D1346" t="s">
        <v>27</v>
      </c>
      <c r="E1346" s="2">
        <v>43336.172233796293</v>
      </c>
      <c r="F1346" t="s">
        <v>298</v>
      </c>
      <c r="G1346" t="s">
        <v>318</v>
      </c>
      <c r="H1346" t="s">
        <v>457</v>
      </c>
      <c r="I1346" t="s">
        <v>581</v>
      </c>
      <c r="J1346" t="s">
        <v>581</v>
      </c>
    </row>
    <row r="1347" spans="1:10" hidden="1" x14ac:dyDescent="0.25">
      <c r="A1347" t="s">
        <v>335</v>
      </c>
      <c r="B1347" t="s">
        <v>6</v>
      </c>
      <c r="C1347" t="s">
        <v>7</v>
      </c>
      <c r="D1347" t="s">
        <v>10</v>
      </c>
      <c r="E1347" s="2">
        <v>43336.172430555554</v>
      </c>
      <c r="F1347" t="s">
        <v>586</v>
      </c>
      <c r="G1347" t="s">
        <v>318</v>
      </c>
      <c r="H1347" t="s">
        <v>453</v>
      </c>
      <c r="I1347" t="s">
        <v>490</v>
      </c>
      <c r="J1347" t="s">
        <v>491</v>
      </c>
    </row>
    <row r="1348" spans="1:10" hidden="1" x14ac:dyDescent="0.25">
      <c r="A1348" t="s">
        <v>109</v>
      </c>
      <c r="B1348" t="s">
        <v>6</v>
      </c>
      <c r="C1348" t="s">
        <v>7</v>
      </c>
      <c r="D1348" t="s">
        <v>10</v>
      </c>
      <c r="E1348" s="2">
        <v>43336.172546296293</v>
      </c>
      <c r="F1348" t="s">
        <v>299</v>
      </c>
      <c r="G1348" t="s">
        <v>318</v>
      </c>
      <c r="H1348" t="s">
        <v>385</v>
      </c>
      <c r="I1348" t="s">
        <v>533</v>
      </c>
      <c r="J1348" t="s">
        <v>543</v>
      </c>
    </row>
    <row r="1349" spans="1:10" hidden="1" x14ac:dyDescent="0.25">
      <c r="A1349" t="s">
        <v>282</v>
      </c>
      <c r="B1349" t="s">
        <v>6</v>
      </c>
      <c r="C1349" t="s">
        <v>7</v>
      </c>
      <c r="D1349" t="s">
        <v>10</v>
      </c>
      <c r="E1349" s="2">
        <v>43336.172581018516</v>
      </c>
      <c r="F1349" t="s">
        <v>300</v>
      </c>
      <c r="G1349" t="s">
        <v>462</v>
      </c>
      <c r="H1349" t="s">
        <v>432</v>
      </c>
      <c r="I1349" t="s">
        <v>494</v>
      </c>
      <c r="J1349" t="s">
        <v>582</v>
      </c>
    </row>
    <row r="1350" spans="1:10" hidden="1" x14ac:dyDescent="0.25">
      <c r="A1350" t="s">
        <v>284</v>
      </c>
      <c r="B1350" t="s">
        <v>6</v>
      </c>
      <c r="C1350" t="s">
        <v>7</v>
      </c>
      <c r="D1350" t="s">
        <v>13</v>
      </c>
      <c r="E1350" s="2">
        <v>43336.172615740739</v>
      </c>
      <c r="F1350" t="s">
        <v>303</v>
      </c>
      <c r="G1350" t="s">
        <v>429</v>
      </c>
      <c r="H1350" t="s">
        <v>427</v>
      </c>
      <c r="I1350" t="s">
        <v>494</v>
      </c>
      <c r="J1350" t="s">
        <v>544</v>
      </c>
    </row>
    <row r="1351" spans="1:10" hidden="1" x14ac:dyDescent="0.25">
      <c r="A1351" t="s">
        <v>232</v>
      </c>
      <c r="B1351" t="s">
        <v>6</v>
      </c>
      <c r="C1351" t="s">
        <v>7</v>
      </c>
      <c r="D1351" t="s">
        <v>13</v>
      </c>
      <c r="E1351" s="2">
        <v>43336.172835648147</v>
      </c>
      <c r="F1351" t="s">
        <v>302</v>
      </c>
      <c r="G1351" t="s">
        <v>455</v>
      </c>
      <c r="H1351" t="s">
        <v>460</v>
      </c>
      <c r="I1351" t="s">
        <v>498</v>
      </c>
      <c r="J1351" t="s">
        <v>498</v>
      </c>
    </row>
    <row r="1352" spans="1:10" hidden="1" x14ac:dyDescent="0.25">
      <c r="A1352" t="s">
        <v>464</v>
      </c>
      <c r="B1352" t="s">
        <v>6</v>
      </c>
      <c r="C1352" t="s">
        <v>7</v>
      </c>
      <c r="D1352" t="s">
        <v>10</v>
      </c>
      <c r="E1352" s="2">
        <v>43336.172847222224</v>
      </c>
      <c r="F1352" t="s">
        <v>298</v>
      </c>
      <c r="G1352" t="s">
        <v>318</v>
      </c>
      <c r="H1352" t="s">
        <v>458</v>
      </c>
      <c r="I1352" t="s">
        <v>581</v>
      </c>
      <c r="J1352" t="s">
        <v>581</v>
      </c>
    </row>
    <row r="1353" spans="1:10" hidden="1" x14ac:dyDescent="0.25">
      <c r="A1353" t="s">
        <v>336</v>
      </c>
      <c r="B1353" t="s">
        <v>6</v>
      </c>
      <c r="C1353" t="s">
        <v>7</v>
      </c>
      <c r="D1353" t="s">
        <v>10</v>
      </c>
      <c r="E1353" s="2">
        <v>43336.173043981478</v>
      </c>
      <c r="F1353" t="s">
        <v>586</v>
      </c>
      <c r="G1353" t="s">
        <v>318</v>
      </c>
      <c r="H1353" t="s">
        <v>454</v>
      </c>
      <c r="I1353" t="s">
        <v>490</v>
      </c>
      <c r="J1353" t="s">
        <v>491</v>
      </c>
    </row>
    <row r="1354" spans="1:10" hidden="1" x14ac:dyDescent="0.25">
      <c r="A1354" t="s">
        <v>104</v>
      </c>
      <c r="B1354" t="s">
        <v>6</v>
      </c>
      <c r="C1354" t="s">
        <v>7</v>
      </c>
      <c r="D1354" t="s">
        <v>10</v>
      </c>
      <c r="E1354" s="2">
        <v>43336.173171296294</v>
      </c>
      <c r="F1354" t="s">
        <v>299</v>
      </c>
      <c r="G1354" t="s">
        <v>318</v>
      </c>
      <c r="H1354" t="s">
        <v>457</v>
      </c>
      <c r="I1354" t="s">
        <v>533</v>
      </c>
      <c r="J1354" t="s">
        <v>543</v>
      </c>
    </row>
    <row r="1355" spans="1:10" hidden="1" x14ac:dyDescent="0.25">
      <c r="A1355" t="s">
        <v>172</v>
      </c>
      <c r="B1355" t="s">
        <v>6</v>
      </c>
      <c r="C1355" t="s">
        <v>7</v>
      </c>
      <c r="D1355" t="s">
        <v>10</v>
      </c>
      <c r="E1355" s="2">
        <v>43336.17324074074</v>
      </c>
      <c r="F1355" t="s">
        <v>585</v>
      </c>
      <c r="G1355" t="s">
        <v>318</v>
      </c>
      <c r="H1355" t="s">
        <v>318</v>
      </c>
      <c r="I1355" t="s">
        <v>494</v>
      </c>
      <c r="J1355" t="s">
        <v>501</v>
      </c>
    </row>
    <row r="1356" spans="1:10" hidden="1" x14ac:dyDescent="0.25">
      <c r="A1356" t="s">
        <v>215</v>
      </c>
      <c r="B1356" t="s">
        <v>6</v>
      </c>
      <c r="C1356" t="s">
        <v>7</v>
      </c>
      <c r="D1356" t="s">
        <v>10</v>
      </c>
      <c r="E1356" s="2">
        <v>43336.173252314817</v>
      </c>
      <c r="F1356" t="s">
        <v>303</v>
      </c>
      <c r="G1356" t="s">
        <v>429</v>
      </c>
      <c r="H1356" t="s">
        <v>428</v>
      </c>
      <c r="I1356" t="s">
        <v>494</v>
      </c>
      <c r="J1356" t="s">
        <v>501</v>
      </c>
    </row>
    <row r="1357" spans="1:10" hidden="1" x14ac:dyDescent="0.25">
      <c r="A1357" t="s">
        <v>245</v>
      </c>
      <c r="B1357" t="s">
        <v>6</v>
      </c>
      <c r="C1357" t="s">
        <v>7</v>
      </c>
      <c r="D1357" t="s">
        <v>27</v>
      </c>
      <c r="E1357" s="2">
        <v>43336.173321759263</v>
      </c>
      <c r="F1357" t="s">
        <v>300</v>
      </c>
      <c r="G1357" t="s">
        <v>462</v>
      </c>
      <c r="H1357" t="s">
        <v>433</v>
      </c>
      <c r="I1357" t="s">
        <v>494</v>
      </c>
      <c r="J1357" t="s">
        <v>582</v>
      </c>
    </row>
    <row r="1358" spans="1:10" hidden="1" x14ac:dyDescent="0.25">
      <c r="A1358" t="s">
        <v>271</v>
      </c>
      <c r="B1358" t="s">
        <v>6</v>
      </c>
      <c r="C1358" t="s">
        <v>7</v>
      </c>
      <c r="D1358" t="s">
        <v>10</v>
      </c>
      <c r="E1358" s="2">
        <v>43336.173449074071</v>
      </c>
      <c r="F1358" t="s">
        <v>302</v>
      </c>
      <c r="G1358" t="s">
        <v>455</v>
      </c>
      <c r="H1358" t="s">
        <v>461</v>
      </c>
      <c r="I1358" t="s">
        <v>498</v>
      </c>
      <c r="J1358" t="s">
        <v>498</v>
      </c>
    </row>
    <row r="1359" spans="1:10" hidden="1" x14ac:dyDescent="0.25">
      <c r="A1359" t="s">
        <v>482</v>
      </c>
      <c r="B1359" t="s">
        <v>6</v>
      </c>
      <c r="C1359" t="s">
        <v>7</v>
      </c>
      <c r="D1359" t="s">
        <v>10</v>
      </c>
      <c r="E1359" s="2">
        <v>43336.173449074071</v>
      </c>
      <c r="F1359" t="s">
        <v>298</v>
      </c>
      <c r="G1359" t="s">
        <v>318</v>
      </c>
      <c r="H1359" t="s">
        <v>459</v>
      </c>
      <c r="I1359" t="s">
        <v>581</v>
      </c>
      <c r="J1359" t="s">
        <v>581</v>
      </c>
    </row>
    <row r="1360" spans="1:10" hidden="1" x14ac:dyDescent="0.25">
      <c r="A1360" t="s">
        <v>337</v>
      </c>
      <c r="B1360" t="s">
        <v>6</v>
      </c>
      <c r="C1360" t="s">
        <v>7</v>
      </c>
      <c r="D1360" t="s">
        <v>10</v>
      </c>
      <c r="E1360" s="2">
        <v>43336.173657407409</v>
      </c>
      <c r="F1360" t="s">
        <v>586</v>
      </c>
      <c r="G1360" t="s">
        <v>318</v>
      </c>
      <c r="H1360" t="s">
        <v>455</v>
      </c>
      <c r="I1360" t="s">
        <v>490</v>
      </c>
      <c r="J1360" t="s">
        <v>491</v>
      </c>
    </row>
    <row r="1361" spans="1:10" hidden="1" x14ac:dyDescent="0.25">
      <c r="A1361" t="s">
        <v>98</v>
      </c>
      <c r="B1361" t="s">
        <v>6</v>
      </c>
      <c r="C1361" t="s">
        <v>7</v>
      </c>
      <c r="D1361" t="s">
        <v>476</v>
      </c>
      <c r="E1361" s="2">
        <v>43336.173796296294</v>
      </c>
      <c r="F1361" t="s">
        <v>299</v>
      </c>
      <c r="G1361" t="s">
        <v>318</v>
      </c>
      <c r="H1361" t="s">
        <v>458</v>
      </c>
      <c r="I1361" t="s">
        <v>545</v>
      </c>
      <c r="J1361" t="s">
        <v>497</v>
      </c>
    </row>
    <row r="1362" spans="1:10" hidden="1" x14ac:dyDescent="0.25">
      <c r="A1362" t="s">
        <v>171</v>
      </c>
      <c r="B1362" t="s">
        <v>6</v>
      </c>
      <c r="C1362" t="s">
        <v>7</v>
      </c>
      <c r="D1362" t="s">
        <v>10</v>
      </c>
      <c r="E1362" s="2">
        <v>43336.173842592594</v>
      </c>
      <c r="F1362" t="s">
        <v>585</v>
      </c>
      <c r="G1362" t="s">
        <v>318</v>
      </c>
      <c r="H1362" t="s">
        <v>323</v>
      </c>
      <c r="I1362" t="s">
        <v>494</v>
      </c>
      <c r="J1362" t="s">
        <v>501</v>
      </c>
    </row>
    <row r="1363" spans="1:10" hidden="1" x14ac:dyDescent="0.25">
      <c r="A1363" t="s">
        <v>123</v>
      </c>
      <c r="B1363" t="s">
        <v>6</v>
      </c>
      <c r="C1363" t="s">
        <v>7</v>
      </c>
      <c r="D1363" t="s">
        <v>476</v>
      </c>
      <c r="E1363" s="2">
        <v>43336.173842592594</v>
      </c>
      <c r="F1363" t="s">
        <v>590</v>
      </c>
      <c r="G1363" t="s">
        <v>429</v>
      </c>
      <c r="H1363" t="s">
        <v>439</v>
      </c>
      <c r="I1363" t="s">
        <v>513</v>
      </c>
      <c r="J1363" t="s">
        <v>513</v>
      </c>
    </row>
    <row r="1364" spans="1:10" hidden="1" x14ac:dyDescent="0.25">
      <c r="A1364" t="s">
        <v>285</v>
      </c>
      <c r="B1364" t="s">
        <v>6</v>
      </c>
      <c r="C1364" t="s">
        <v>7</v>
      </c>
      <c r="D1364" t="s">
        <v>10</v>
      </c>
      <c r="E1364" s="2">
        <v>43336.173900462964</v>
      </c>
      <c r="F1364" t="s">
        <v>303</v>
      </c>
      <c r="G1364" t="s">
        <v>429</v>
      </c>
      <c r="H1364" t="s">
        <v>429</v>
      </c>
      <c r="I1364" t="s">
        <v>494</v>
      </c>
      <c r="J1364" t="s">
        <v>501</v>
      </c>
    </row>
    <row r="1365" spans="1:10" hidden="1" x14ac:dyDescent="0.25">
      <c r="A1365" t="s">
        <v>246</v>
      </c>
      <c r="B1365" t="s">
        <v>6</v>
      </c>
      <c r="C1365" t="s">
        <v>7</v>
      </c>
      <c r="D1365" t="s">
        <v>10</v>
      </c>
      <c r="E1365" s="2">
        <v>43336.173935185187</v>
      </c>
      <c r="F1365" t="s">
        <v>300</v>
      </c>
      <c r="G1365" t="s">
        <v>462</v>
      </c>
      <c r="H1365" t="s">
        <v>434</v>
      </c>
      <c r="I1365" t="s">
        <v>494</v>
      </c>
      <c r="J1365" t="s">
        <v>582</v>
      </c>
    </row>
    <row r="1366" spans="1:10" hidden="1" x14ac:dyDescent="0.25">
      <c r="A1366" t="s">
        <v>231</v>
      </c>
      <c r="B1366" t="s">
        <v>6</v>
      </c>
      <c r="C1366" t="s">
        <v>7</v>
      </c>
      <c r="D1366" t="s">
        <v>476</v>
      </c>
      <c r="E1366" s="2">
        <v>43336.174027777779</v>
      </c>
      <c r="F1366" t="s">
        <v>302</v>
      </c>
      <c r="G1366" t="s">
        <v>455</v>
      </c>
      <c r="H1366" t="s">
        <v>462</v>
      </c>
      <c r="I1366" t="s">
        <v>497</v>
      </c>
      <c r="J1366" t="s">
        <v>497</v>
      </c>
    </row>
    <row r="1367" spans="1:10" hidden="1" x14ac:dyDescent="0.25">
      <c r="A1367" t="s">
        <v>479</v>
      </c>
      <c r="B1367" t="s">
        <v>6</v>
      </c>
      <c r="C1367" t="s">
        <v>7</v>
      </c>
      <c r="D1367" t="s">
        <v>10</v>
      </c>
      <c r="E1367" s="2">
        <v>43336.174062500002</v>
      </c>
      <c r="F1367" t="s">
        <v>298</v>
      </c>
      <c r="G1367" t="s">
        <v>318</v>
      </c>
      <c r="H1367" t="s">
        <v>460</v>
      </c>
      <c r="I1367" t="s">
        <v>581</v>
      </c>
      <c r="J1367" t="s">
        <v>581</v>
      </c>
    </row>
    <row r="1368" spans="1:10" hidden="1" x14ac:dyDescent="0.25">
      <c r="A1368" t="s">
        <v>338</v>
      </c>
      <c r="B1368" t="s">
        <v>6</v>
      </c>
      <c r="C1368" t="s">
        <v>7</v>
      </c>
      <c r="D1368" t="s">
        <v>27</v>
      </c>
      <c r="E1368" s="2">
        <v>43336.174386574072</v>
      </c>
      <c r="F1368" t="s">
        <v>586</v>
      </c>
      <c r="G1368" t="s">
        <v>318</v>
      </c>
      <c r="H1368" t="s">
        <v>456</v>
      </c>
      <c r="I1368" t="s">
        <v>490</v>
      </c>
      <c r="J1368" t="s">
        <v>491</v>
      </c>
    </row>
    <row r="1369" spans="1:10" hidden="1" x14ac:dyDescent="0.25">
      <c r="A1369" t="s">
        <v>150</v>
      </c>
      <c r="B1369" t="s">
        <v>6</v>
      </c>
      <c r="C1369" t="s">
        <v>7</v>
      </c>
      <c r="D1369" t="s">
        <v>476</v>
      </c>
      <c r="E1369" s="2">
        <v>43336.174432870372</v>
      </c>
      <c r="F1369" t="s">
        <v>299</v>
      </c>
      <c r="G1369" t="s">
        <v>318</v>
      </c>
      <c r="H1369" t="s">
        <v>459</v>
      </c>
      <c r="I1369" t="s">
        <v>545</v>
      </c>
      <c r="J1369" t="s">
        <v>497</v>
      </c>
    </row>
    <row r="1370" spans="1:10" hidden="1" x14ac:dyDescent="0.25">
      <c r="A1370" t="s">
        <v>41</v>
      </c>
      <c r="B1370" t="s">
        <v>6</v>
      </c>
      <c r="C1370" t="s">
        <v>7</v>
      </c>
      <c r="D1370" t="s">
        <v>10</v>
      </c>
      <c r="E1370" s="2">
        <v>43336.174467592595</v>
      </c>
      <c r="F1370" t="s">
        <v>590</v>
      </c>
      <c r="G1370" t="s">
        <v>429</v>
      </c>
      <c r="H1370" t="s">
        <v>440</v>
      </c>
      <c r="I1370" t="s">
        <v>513</v>
      </c>
      <c r="J1370" t="s">
        <v>513</v>
      </c>
    </row>
    <row r="1371" spans="1:10" hidden="1" x14ac:dyDescent="0.25">
      <c r="A1371" t="s">
        <v>207</v>
      </c>
      <c r="B1371" t="s">
        <v>6</v>
      </c>
      <c r="C1371" t="s">
        <v>7</v>
      </c>
      <c r="D1371" t="s">
        <v>10</v>
      </c>
      <c r="E1371" s="2">
        <v>43336.174467592595</v>
      </c>
      <c r="F1371" t="s">
        <v>585</v>
      </c>
      <c r="G1371" t="s">
        <v>318</v>
      </c>
      <c r="H1371" t="s">
        <v>385</v>
      </c>
      <c r="I1371" t="s">
        <v>494</v>
      </c>
      <c r="J1371" t="s">
        <v>501</v>
      </c>
    </row>
    <row r="1372" spans="1:10" hidden="1" x14ac:dyDescent="0.25">
      <c r="A1372" t="s">
        <v>214</v>
      </c>
      <c r="B1372" t="s">
        <v>6</v>
      </c>
      <c r="C1372" t="s">
        <v>7</v>
      </c>
      <c r="D1372" t="s">
        <v>10</v>
      </c>
      <c r="E1372" s="2">
        <v>43336.174513888887</v>
      </c>
      <c r="F1372" t="s">
        <v>303</v>
      </c>
      <c r="G1372" t="s">
        <v>429</v>
      </c>
      <c r="H1372" t="s">
        <v>430</v>
      </c>
      <c r="I1372" t="s">
        <v>494</v>
      </c>
      <c r="J1372" t="s">
        <v>501</v>
      </c>
    </row>
    <row r="1373" spans="1:10" hidden="1" x14ac:dyDescent="0.25">
      <c r="A1373" t="s">
        <v>247</v>
      </c>
      <c r="B1373" t="s">
        <v>6</v>
      </c>
      <c r="C1373" t="s">
        <v>7</v>
      </c>
      <c r="D1373" t="s">
        <v>10</v>
      </c>
      <c r="E1373" s="2">
        <v>43336.174560185187</v>
      </c>
      <c r="F1373" t="s">
        <v>300</v>
      </c>
      <c r="G1373" t="s">
        <v>462</v>
      </c>
      <c r="H1373" t="s">
        <v>435</v>
      </c>
      <c r="I1373" t="s">
        <v>494</v>
      </c>
      <c r="J1373" t="s">
        <v>582</v>
      </c>
    </row>
    <row r="1374" spans="1:10" hidden="1" x14ac:dyDescent="0.25">
      <c r="A1374" t="s">
        <v>201</v>
      </c>
      <c r="B1374" t="s">
        <v>6</v>
      </c>
      <c r="C1374" t="s">
        <v>7</v>
      </c>
      <c r="D1374" t="s">
        <v>476</v>
      </c>
      <c r="E1374" s="2">
        <v>43336.174618055556</v>
      </c>
      <c r="F1374" t="s">
        <v>302</v>
      </c>
      <c r="G1374" t="s">
        <v>455</v>
      </c>
      <c r="H1374" t="s">
        <v>453</v>
      </c>
      <c r="I1374" t="s">
        <v>497</v>
      </c>
      <c r="J1374" t="s">
        <v>497</v>
      </c>
    </row>
    <row r="1375" spans="1:10" hidden="1" x14ac:dyDescent="0.25">
      <c r="A1375" t="s">
        <v>381</v>
      </c>
      <c r="B1375" t="s">
        <v>6</v>
      </c>
      <c r="C1375" t="s">
        <v>7</v>
      </c>
      <c r="D1375" t="s">
        <v>10</v>
      </c>
      <c r="E1375" s="2">
        <v>43336.174687500003</v>
      </c>
      <c r="F1375" t="s">
        <v>298</v>
      </c>
      <c r="G1375" t="s">
        <v>318</v>
      </c>
      <c r="H1375" t="s">
        <v>461</v>
      </c>
      <c r="I1375" t="s">
        <v>581</v>
      </c>
      <c r="J1375" t="s">
        <v>581</v>
      </c>
    </row>
    <row r="1376" spans="1:10" hidden="1" x14ac:dyDescent="0.25">
      <c r="A1376" t="s">
        <v>208</v>
      </c>
      <c r="B1376" t="s">
        <v>6</v>
      </c>
      <c r="C1376" t="s">
        <v>7</v>
      </c>
      <c r="D1376" t="s">
        <v>27</v>
      </c>
      <c r="E1376" s="2">
        <v>43336.174699074072</v>
      </c>
      <c r="F1376" t="s">
        <v>591</v>
      </c>
      <c r="G1376" t="s">
        <v>318</v>
      </c>
      <c r="H1376" t="s">
        <v>318</v>
      </c>
      <c r="I1376" t="s">
        <v>497</v>
      </c>
      <c r="J1376" t="s">
        <v>497</v>
      </c>
    </row>
    <row r="1377" spans="1:10" hidden="1" x14ac:dyDescent="0.25">
      <c r="A1377" t="s">
        <v>213</v>
      </c>
      <c r="B1377" t="s">
        <v>6</v>
      </c>
      <c r="C1377" t="s">
        <v>7</v>
      </c>
      <c r="D1377" t="s">
        <v>476</v>
      </c>
      <c r="E1377" s="2">
        <v>43336.175127314818</v>
      </c>
      <c r="F1377" t="s">
        <v>303</v>
      </c>
      <c r="G1377" t="s">
        <v>429</v>
      </c>
      <c r="H1377" t="s">
        <v>431</v>
      </c>
      <c r="I1377" t="s">
        <v>494</v>
      </c>
      <c r="J1377" t="s">
        <v>501</v>
      </c>
    </row>
    <row r="1378" spans="1:10" hidden="1" x14ac:dyDescent="0.25">
      <c r="A1378" t="s">
        <v>76</v>
      </c>
      <c r="B1378" t="s">
        <v>6</v>
      </c>
      <c r="C1378" t="s">
        <v>7</v>
      </c>
      <c r="D1378" t="s">
        <v>476</v>
      </c>
      <c r="E1378" s="2">
        <v>43336.175127314818</v>
      </c>
      <c r="F1378" t="s">
        <v>590</v>
      </c>
      <c r="G1378" t="s">
        <v>429</v>
      </c>
      <c r="H1378" t="s">
        <v>441</v>
      </c>
      <c r="I1378" t="s">
        <v>507</v>
      </c>
      <c r="J1378" t="s">
        <v>507</v>
      </c>
    </row>
    <row r="1379" spans="1:10" hidden="1" x14ac:dyDescent="0.25">
      <c r="A1379" t="s">
        <v>248</v>
      </c>
      <c r="B1379" t="s">
        <v>6</v>
      </c>
      <c r="C1379" t="s">
        <v>7</v>
      </c>
      <c r="D1379" t="s">
        <v>10</v>
      </c>
      <c r="E1379" s="2">
        <v>43336.175185185188</v>
      </c>
      <c r="F1379" t="s">
        <v>300</v>
      </c>
      <c r="G1379" t="s">
        <v>462</v>
      </c>
      <c r="H1379" t="s">
        <v>436</v>
      </c>
      <c r="I1379" t="s">
        <v>494</v>
      </c>
      <c r="J1379" t="s">
        <v>582</v>
      </c>
    </row>
    <row r="1380" spans="1:10" hidden="1" x14ac:dyDescent="0.25">
      <c r="A1380" t="s">
        <v>198</v>
      </c>
      <c r="B1380" t="s">
        <v>6</v>
      </c>
      <c r="C1380" t="s">
        <v>7</v>
      </c>
      <c r="D1380" t="s">
        <v>10</v>
      </c>
      <c r="E1380" s="2">
        <v>43336.17523148148</v>
      </c>
      <c r="F1380" t="s">
        <v>302</v>
      </c>
      <c r="G1380" t="s">
        <v>455</v>
      </c>
      <c r="H1380" t="s">
        <v>454</v>
      </c>
      <c r="I1380" t="s">
        <v>497</v>
      </c>
      <c r="J1380" t="s">
        <v>497</v>
      </c>
    </row>
    <row r="1381" spans="1:10" hidden="1" x14ac:dyDescent="0.25">
      <c r="A1381" t="s">
        <v>339</v>
      </c>
      <c r="B1381" t="s">
        <v>6</v>
      </c>
      <c r="C1381" t="s">
        <v>7</v>
      </c>
      <c r="D1381" t="s">
        <v>27</v>
      </c>
      <c r="E1381" s="2">
        <v>43336.17527777778</v>
      </c>
      <c r="F1381" t="s">
        <v>586</v>
      </c>
      <c r="G1381" t="s">
        <v>318</v>
      </c>
      <c r="H1381" t="s">
        <v>426</v>
      </c>
      <c r="I1381" t="s">
        <v>490</v>
      </c>
      <c r="J1381" t="s">
        <v>491</v>
      </c>
    </row>
    <row r="1382" spans="1:10" hidden="1" x14ac:dyDescent="0.25">
      <c r="A1382" t="s">
        <v>415</v>
      </c>
      <c r="B1382" t="s">
        <v>6</v>
      </c>
      <c r="C1382" t="s">
        <v>7</v>
      </c>
      <c r="D1382" t="s">
        <v>10</v>
      </c>
      <c r="E1382" s="2">
        <v>43336.17528935185</v>
      </c>
      <c r="F1382" t="s">
        <v>298</v>
      </c>
      <c r="G1382" t="s">
        <v>318</v>
      </c>
      <c r="H1382" t="s">
        <v>462</v>
      </c>
      <c r="I1382" t="s">
        <v>581</v>
      </c>
      <c r="J1382" t="s">
        <v>581</v>
      </c>
    </row>
    <row r="1383" spans="1:10" hidden="1" x14ac:dyDescent="0.25">
      <c r="A1383" t="s">
        <v>137</v>
      </c>
      <c r="B1383" t="s">
        <v>6</v>
      </c>
      <c r="C1383" t="s">
        <v>7</v>
      </c>
      <c r="D1383" t="s">
        <v>27</v>
      </c>
      <c r="E1383" s="2">
        <v>43336.17528935185</v>
      </c>
      <c r="F1383" t="s">
        <v>585</v>
      </c>
      <c r="G1383" t="s">
        <v>318</v>
      </c>
      <c r="H1383" t="s">
        <v>457</v>
      </c>
      <c r="I1383" t="s">
        <v>494</v>
      </c>
      <c r="J1383" t="s">
        <v>501</v>
      </c>
    </row>
    <row r="1384" spans="1:10" hidden="1" x14ac:dyDescent="0.25">
      <c r="A1384" t="s">
        <v>97</v>
      </c>
      <c r="B1384" t="s">
        <v>6</v>
      </c>
      <c r="C1384" t="s">
        <v>7</v>
      </c>
      <c r="D1384" t="s">
        <v>476</v>
      </c>
      <c r="E1384" s="2">
        <v>43336.175335648149</v>
      </c>
      <c r="F1384" t="s">
        <v>591</v>
      </c>
      <c r="G1384" t="s">
        <v>318</v>
      </c>
      <c r="H1384" t="s">
        <v>323</v>
      </c>
      <c r="I1384" t="s">
        <v>497</v>
      </c>
      <c r="J1384" t="s">
        <v>497</v>
      </c>
    </row>
    <row r="1385" spans="1:10" hidden="1" x14ac:dyDescent="0.25">
      <c r="A1385" t="s">
        <v>119</v>
      </c>
      <c r="B1385" t="s">
        <v>6</v>
      </c>
      <c r="C1385" t="s">
        <v>7</v>
      </c>
      <c r="D1385" t="s">
        <v>27</v>
      </c>
      <c r="E1385" s="2">
        <v>43336.175358796296</v>
      </c>
      <c r="F1385" t="s">
        <v>299</v>
      </c>
      <c r="G1385" t="s">
        <v>318</v>
      </c>
      <c r="H1385" t="s">
        <v>460</v>
      </c>
      <c r="I1385" t="s">
        <v>545</v>
      </c>
      <c r="J1385" t="s">
        <v>497</v>
      </c>
    </row>
    <row r="1386" spans="1:10" hidden="1" x14ac:dyDescent="0.25">
      <c r="A1386" t="s">
        <v>212</v>
      </c>
      <c r="B1386" t="s">
        <v>6</v>
      </c>
      <c r="C1386" t="s">
        <v>7</v>
      </c>
      <c r="D1386" t="s">
        <v>10</v>
      </c>
      <c r="E1386" s="2">
        <v>43336.175740740742</v>
      </c>
      <c r="F1386" t="s">
        <v>303</v>
      </c>
      <c r="G1386" t="s">
        <v>429</v>
      </c>
      <c r="H1386" t="s">
        <v>432</v>
      </c>
      <c r="I1386" t="s">
        <v>494</v>
      </c>
      <c r="J1386" t="s">
        <v>501</v>
      </c>
    </row>
    <row r="1387" spans="1:10" hidden="1" x14ac:dyDescent="0.25">
      <c r="A1387" t="s">
        <v>75</v>
      </c>
      <c r="B1387" t="s">
        <v>6</v>
      </c>
      <c r="C1387" t="s">
        <v>7</v>
      </c>
      <c r="D1387" t="s">
        <v>10</v>
      </c>
      <c r="E1387" s="2">
        <v>43336.175752314812</v>
      </c>
      <c r="F1387" t="s">
        <v>590</v>
      </c>
      <c r="G1387" t="s">
        <v>429</v>
      </c>
      <c r="H1387" t="s">
        <v>442</v>
      </c>
      <c r="I1387" t="s">
        <v>504</v>
      </c>
      <c r="J1387" t="s">
        <v>504</v>
      </c>
    </row>
    <row r="1388" spans="1:10" hidden="1" x14ac:dyDescent="0.25">
      <c r="A1388" t="s">
        <v>197</v>
      </c>
      <c r="B1388" t="s">
        <v>6</v>
      </c>
      <c r="C1388" t="s">
        <v>7</v>
      </c>
      <c r="D1388" t="s">
        <v>10</v>
      </c>
      <c r="E1388" s="2">
        <v>43336.175821759258</v>
      </c>
      <c r="F1388" t="s">
        <v>302</v>
      </c>
      <c r="G1388" t="s">
        <v>455</v>
      </c>
      <c r="H1388" t="s">
        <v>455</v>
      </c>
      <c r="I1388" t="s">
        <v>497</v>
      </c>
      <c r="J1388" t="s">
        <v>497</v>
      </c>
    </row>
    <row r="1389" spans="1:10" hidden="1" x14ac:dyDescent="0.25">
      <c r="A1389" t="s">
        <v>309</v>
      </c>
      <c r="B1389" t="s">
        <v>6</v>
      </c>
      <c r="C1389" t="s">
        <v>7</v>
      </c>
      <c r="D1389" t="s">
        <v>10</v>
      </c>
      <c r="E1389" s="2">
        <v>43336.175902777781</v>
      </c>
      <c r="F1389" t="s">
        <v>586</v>
      </c>
      <c r="G1389" t="s">
        <v>318</v>
      </c>
      <c r="H1389" t="s">
        <v>427</v>
      </c>
      <c r="I1389" t="s">
        <v>490</v>
      </c>
      <c r="J1389" t="s">
        <v>491</v>
      </c>
    </row>
    <row r="1390" spans="1:10" hidden="1" x14ac:dyDescent="0.25">
      <c r="A1390" t="s">
        <v>348</v>
      </c>
      <c r="B1390" t="s">
        <v>6</v>
      </c>
      <c r="C1390" t="s">
        <v>7</v>
      </c>
      <c r="D1390" t="s">
        <v>10</v>
      </c>
      <c r="E1390" s="2">
        <v>43336.175925925927</v>
      </c>
      <c r="F1390" t="s">
        <v>587</v>
      </c>
      <c r="G1390" t="s">
        <v>458</v>
      </c>
      <c r="H1390" t="s">
        <v>436</v>
      </c>
      <c r="I1390" t="s">
        <v>573</v>
      </c>
      <c r="J1390" t="s">
        <v>491</v>
      </c>
    </row>
    <row r="1391" spans="1:10" hidden="1" x14ac:dyDescent="0.25">
      <c r="A1391" t="s">
        <v>143</v>
      </c>
      <c r="B1391" t="s">
        <v>6</v>
      </c>
      <c r="C1391" t="s">
        <v>7</v>
      </c>
      <c r="D1391" t="s">
        <v>10</v>
      </c>
      <c r="E1391" s="2">
        <v>43336.175925925927</v>
      </c>
      <c r="F1391" t="s">
        <v>585</v>
      </c>
      <c r="G1391" t="s">
        <v>318</v>
      </c>
      <c r="H1391" t="s">
        <v>458</v>
      </c>
      <c r="I1391" t="s">
        <v>494</v>
      </c>
      <c r="J1391" t="s">
        <v>501</v>
      </c>
    </row>
    <row r="1392" spans="1:10" hidden="1" x14ac:dyDescent="0.25">
      <c r="A1392" t="s">
        <v>249</v>
      </c>
      <c r="B1392" t="s">
        <v>6</v>
      </c>
      <c r="C1392" t="s">
        <v>7</v>
      </c>
      <c r="D1392" t="s">
        <v>27</v>
      </c>
      <c r="E1392" s="2">
        <v>43336.175949074073</v>
      </c>
      <c r="F1392" t="s">
        <v>300</v>
      </c>
      <c r="G1392" t="s">
        <v>462</v>
      </c>
      <c r="H1392" t="s">
        <v>437</v>
      </c>
      <c r="I1392" t="s">
        <v>494</v>
      </c>
      <c r="J1392" t="s">
        <v>583</v>
      </c>
    </row>
    <row r="1393" spans="1:10" hidden="1" x14ac:dyDescent="0.25">
      <c r="A1393" t="s">
        <v>205</v>
      </c>
      <c r="B1393" t="s">
        <v>6</v>
      </c>
      <c r="C1393" t="s">
        <v>7</v>
      </c>
      <c r="D1393" t="s">
        <v>13</v>
      </c>
      <c r="E1393" s="2">
        <v>43336.176064814812</v>
      </c>
      <c r="F1393" t="s">
        <v>591</v>
      </c>
      <c r="G1393" t="s">
        <v>318</v>
      </c>
      <c r="H1393" t="s">
        <v>385</v>
      </c>
      <c r="I1393" t="s">
        <v>497</v>
      </c>
      <c r="J1393" t="s">
        <v>497</v>
      </c>
    </row>
    <row r="1394" spans="1:10" hidden="1" x14ac:dyDescent="0.25">
      <c r="A1394" t="s">
        <v>105</v>
      </c>
      <c r="B1394" t="s">
        <v>6</v>
      </c>
      <c r="C1394" t="s">
        <v>7</v>
      </c>
      <c r="D1394" t="s">
        <v>13</v>
      </c>
      <c r="E1394" s="2">
        <v>43336.176157407404</v>
      </c>
      <c r="F1394" t="s">
        <v>299</v>
      </c>
      <c r="G1394" t="s">
        <v>318</v>
      </c>
      <c r="H1394" t="s">
        <v>461</v>
      </c>
      <c r="I1394" t="s">
        <v>545</v>
      </c>
      <c r="J1394" t="s">
        <v>497</v>
      </c>
    </row>
    <row r="1395" spans="1:10" hidden="1" x14ac:dyDescent="0.25">
      <c r="A1395" t="s">
        <v>169</v>
      </c>
      <c r="B1395" t="s">
        <v>6</v>
      </c>
      <c r="C1395" t="s">
        <v>7</v>
      </c>
      <c r="D1395" t="s">
        <v>10</v>
      </c>
      <c r="E1395" s="2">
        <v>43336.176365740743</v>
      </c>
      <c r="F1395" t="s">
        <v>590</v>
      </c>
      <c r="G1395" t="s">
        <v>429</v>
      </c>
      <c r="H1395" t="s">
        <v>443</v>
      </c>
      <c r="I1395" t="s">
        <v>498</v>
      </c>
      <c r="J1395" t="s">
        <v>498</v>
      </c>
    </row>
    <row r="1396" spans="1:10" hidden="1" x14ac:dyDescent="0.25">
      <c r="A1396" t="s">
        <v>258</v>
      </c>
      <c r="B1396" t="s">
        <v>6</v>
      </c>
      <c r="C1396" t="s">
        <v>7</v>
      </c>
      <c r="D1396" t="s">
        <v>10</v>
      </c>
      <c r="E1396" s="2">
        <v>43336.176435185182</v>
      </c>
      <c r="F1396" t="s">
        <v>302</v>
      </c>
      <c r="G1396" t="s">
        <v>455</v>
      </c>
      <c r="H1396" t="s">
        <v>456</v>
      </c>
      <c r="I1396" t="s">
        <v>497</v>
      </c>
      <c r="J1396" t="s">
        <v>497</v>
      </c>
    </row>
    <row r="1397" spans="1:10" hidden="1" x14ac:dyDescent="0.25">
      <c r="A1397" t="s">
        <v>286</v>
      </c>
      <c r="B1397" t="s">
        <v>6</v>
      </c>
      <c r="C1397" t="s">
        <v>7</v>
      </c>
      <c r="D1397" t="s">
        <v>27</v>
      </c>
      <c r="E1397" s="2">
        <v>43336.176516203705</v>
      </c>
      <c r="F1397" t="s">
        <v>303</v>
      </c>
      <c r="G1397" t="s">
        <v>429</v>
      </c>
      <c r="H1397" t="s">
        <v>433</v>
      </c>
      <c r="I1397" t="s">
        <v>494</v>
      </c>
      <c r="J1397" t="s">
        <v>501</v>
      </c>
    </row>
    <row r="1398" spans="1:10" hidden="1" x14ac:dyDescent="0.25">
      <c r="A1398" t="s">
        <v>331</v>
      </c>
      <c r="B1398" t="s">
        <v>6</v>
      </c>
      <c r="C1398" t="s">
        <v>7</v>
      </c>
      <c r="D1398" t="s">
        <v>10</v>
      </c>
      <c r="E1398" s="2">
        <v>43336.176539351851</v>
      </c>
      <c r="F1398" t="s">
        <v>587</v>
      </c>
      <c r="G1398" t="s">
        <v>458</v>
      </c>
      <c r="H1398" t="s">
        <v>437</v>
      </c>
      <c r="I1398" t="s">
        <v>574</v>
      </c>
      <c r="J1398" t="s">
        <v>491</v>
      </c>
    </row>
    <row r="1399" spans="1:10" hidden="1" x14ac:dyDescent="0.25">
      <c r="A1399" t="s">
        <v>250</v>
      </c>
      <c r="B1399" t="s">
        <v>6</v>
      </c>
      <c r="C1399" t="s">
        <v>7</v>
      </c>
      <c r="D1399" t="s">
        <v>10</v>
      </c>
      <c r="E1399" s="2">
        <v>43336.176574074074</v>
      </c>
      <c r="F1399" t="s">
        <v>300</v>
      </c>
      <c r="G1399" t="s">
        <v>462</v>
      </c>
      <c r="H1399" t="s">
        <v>438</v>
      </c>
      <c r="I1399" t="s">
        <v>494</v>
      </c>
      <c r="J1399" t="s">
        <v>583</v>
      </c>
    </row>
    <row r="1400" spans="1:10" hidden="1" x14ac:dyDescent="0.25">
      <c r="A1400" t="s">
        <v>310</v>
      </c>
      <c r="B1400" t="s">
        <v>6</v>
      </c>
      <c r="C1400" t="s">
        <v>7</v>
      </c>
      <c r="D1400" t="s">
        <v>27</v>
      </c>
      <c r="E1400" s="2">
        <v>43336.176655092589</v>
      </c>
      <c r="F1400" t="s">
        <v>586</v>
      </c>
      <c r="G1400" t="s">
        <v>318</v>
      </c>
      <c r="H1400" t="s">
        <v>428</v>
      </c>
      <c r="I1400" t="s">
        <v>490</v>
      </c>
      <c r="J1400" t="s">
        <v>491</v>
      </c>
    </row>
    <row r="1401" spans="1:10" hidden="1" x14ac:dyDescent="0.25">
      <c r="A1401" t="s">
        <v>206</v>
      </c>
      <c r="B1401" t="s">
        <v>6</v>
      </c>
      <c r="C1401" t="s">
        <v>7</v>
      </c>
      <c r="D1401" t="s">
        <v>27</v>
      </c>
      <c r="E1401" s="2">
        <v>43336.176666666666</v>
      </c>
      <c r="F1401" t="s">
        <v>585</v>
      </c>
      <c r="G1401" t="s">
        <v>318</v>
      </c>
      <c r="H1401" t="s">
        <v>459</v>
      </c>
      <c r="I1401" t="s">
        <v>494</v>
      </c>
      <c r="J1401" t="s">
        <v>501</v>
      </c>
    </row>
    <row r="1402" spans="1:10" hidden="1" x14ac:dyDescent="0.25">
      <c r="A1402" t="s">
        <v>88</v>
      </c>
      <c r="B1402" t="s">
        <v>6</v>
      </c>
      <c r="C1402" t="s">
        <v>7</v>
      </c>
      <c r="D1402" t="s">
        <v>476</v>
      </c>
      <c r="E1402" s="2">
        <v>43336.176666666666</v>
      </c>
      <c r="F1402" t="s">
        <v>591</v>
      </c>
      <c r="G1402" t="s">
        <v>318</v>
      </c>
      <c r="H1402" t="s">
        <v>457</v>
      </c>
      <c r="I1402" t="s">
        <v>497</v>
      </c>
      <c r="J1402" t="s">
        <v>497</v>
      </c>
    </row>
    <row r="1403" spans="1:10" hidden="1" x14ac:dyDescent="0.25">
      <c r="A1403" t="s">
        <v>15</v>
      </c>
      <c r="B1403" t="s">
        <v>6</v>
      </c>
      <c r="C1403" t="s">
        <v>7</v>
      </c>
      <c r="D1403" t="s">
        <v>484</v>
      </c>
      <c r="E1403" s="2">
        <v>43336.176678240743</v>
      </c>
      <c r="F1403" t="s">
        <v>298</v>
      </c>
      <c r="G1403" t="s">
        <v>318</v>
      </c>
      <c r="H1403" t="s">
        <v>453</v>
      </c>
      <c r="I1403" t="s">
        <v>541</v>
      </c>
      <c r="J1403" t="s">
        <v>542</v>
      </c>
    </row>
    <row r="1404" spans="1:10" hidden="1" x14ac:dyDescent="0.25">
      <c r="A1404" t="s">
        <v>117</v>
      </c>
      <c r="B1404" t="s">
        <v>6</v>
      </c>
      <c r="C1404" t="s">
        <v>7</v>
      </c>
      <c r="D1404" t="s">
        <v>10</v>
      </c>
      <c r="E1404" s="2">
        <v>43336.176793981482</v>
      </c>
      <c r="F1404" t="s">
        <v>299</v>
      </c>
      <c r="G1404" t="s">
        <v>318</v>
      </c>
      <c r="H1404" t="s">
        <v>462</v>
      </c>
      <c r="I1404" t="s">
        <v>492</v>
      </c>
      <c r="J1404" t="s">
        <v>547</v>
      </c>
    </row>
    <row r="1405" spans="1:10" hidden="1" x14ac:dyDescent="0.25">
      <c r="A1405" t="s">
        <v>199</v>
      </c>
      <c r="B1405" t="s">
        <v>6</v>
      </c>
      <c r="C1405" t="s">
        <v>7</v>
      </c>
      <c r="D1405" t="s">
        <v>10</v>
      </c>
      <c r="E1405" s="2">
        <v>43336.176979166667</v>
      </c>
      <c r="F1405" t="s">
        <v>590</v>
      </c>
      <c r="G1405" t="s">
        <v>429</v>
      </c>
      <c r="H1405" t="s">
        <v>444</v>
      </c>
      <c r="I1405" t="s">
        <v>498</v>
      </c>
      <c r="J1405" t="s">
        <v>498</v>
      </c>
    </row>
    <row r="1406" spans="1:10" hidden="1" x14ac:dyDescent="0.25">
      <c r="A1406" t="s">
        <v>194</v>
      </c>
      <c r="B1406" t="s">
        <v>6</v>
      </c>
      <c r="C1406" t="s">
        <v>7</v>
      </c>
      <c r="D1406" t="s">
        <v>10</v>
      </c>
      <c r="E1406" s="2">
        <v>43336.177048611113</v>
      </c>
      <c r="F1406" t="s">
        <v>302</v>
      </c>
      <c r="G1406" t="s">
        <v>455</v>
      </c>
      <c r="H1406" t="s">
        <v>426</v>
      </c>
      <c r="I1406" t="s">
        <v>497</v>
      </c>
      <c r="J1406" t="s">
        <v>497</v>
      </c>
    </row>
    <row r="1407" spans="1:10" hidden="1" x14ac:dyDescent="0.25">
      <c r="A1407" t="s">
        <v>349</v>
      </c>
      <c r="B1407" t="s">
        <v>6</v>
      </c>
      <c r="C1407" t="s">
        <v>7</v>
      </c>
      <c r="D1407" t="s">
        <v>10</v>
      </c>
      <c r="E1407" s="2">
        <v>43336.177141203705</v>
      </c>
      <c r="F1407" t="s">
        <v>587</v>
      </c>
      <c r="G1407" t="s">
        <v>458</v>
      </c>
      <c r="H1407" t="s">
        <v>438</v>
      </c>
      <c r="I1407" t="s">
        <v>575</v>
      </c>
      <c r="J1407" t="s">
        <v>491</v>
      </c>
    </row>
    <row r="1408" spans="1:10" hidden="1" x14ac:dyDescent="0.25">
      <c r="A1408" t="s">
        <v>189</v>
      </c>
      <c r="B1408" t="s">
        <v>6</v>
      </c>
      <c r="C1408" t="s">
        <v>7</v>
      </c>
      <c r="D1408" t="s">
        <v>10</v>
      </c>
      <c r="E1408" s="2">
        <v>43336.177152777775</v>
      </c>
      <c r="F1408" t="s">
        <v>303</v>
      </c>
      <c r="G1408" t="s">
        <v>429</v>
      </c>
      <c r="H1408" t="s">
        <v>434</v>
      </c>
      <c r="I1408" t="s">
        <v>494</v>
      </c>
      <c r="J1408" t="s">
        <v>501</v>
      </c>
    </row>
    <row r="1409" spans="1:10" hidden="1" x14ac:dyDescent="0.25">
      <c r="A1409" t="s">
        <v>311</v>
      </c>
      <c r="B1409" t="s">
        <v>6</v>
      </c>
      <c r="C1409" t="s">
        <v>7</v>
      </c>
      <c r="D1409" t="s">
        <v>10</v>
      </c>
      <c r="E1409" s="2">
        <v>43336.177268518521</v>
      </c>
      <c r="F1409" t="s">
        <v>586</v>
      </c>
      <c r="G1409" t="s">
        <v>318</v>
      </c>
      <c r="H1409" t="s">
        <v>429</v>
      </c>
      <c r="I1409" t="s">
        <v>490</v>
      </c>
      <c r="J1409" t="s">
        <v>491</v>
      </c>
    </row>
    <row r="1410" spans="1:10" hidden="1" x14ac:dyDescent="0.25">
      <c r="A1410" t="s">
        <v>48</v>
      </c>
      <c r="B1410" t="s">
        <v>6</v>
      </c>
      <c r="C1410" t="s">
        <v>7</v>
      </c>
      <c r="D1410" t="s">
        <v>10</v>
      </c>
      <c r="E1410" s="2">
        <v>43336.17728009259</v>
      </c>
      <c r="F1410" t="s">
        <v>585</v>
      </c>
      <c r="G1410" t="s">
        <v>318</v>
      </c>
      <c r="H1410" t="s">
        <v>460</v>
      </c>
      <c r="I1410" t="s">
        <v>494</v>
      </c>
      <c r="J1410" t="s">
        <v>501</v>
      </c>
    </row>
    <row r="1411" spans="1:10" hidden="1" x14ac:dyDescent="0.25">
      <c r="A1411" t="s">
        <v>159</v>
      </c>
      <c r="B1411" t="s">
        <v>6</v>
      </c>
      <c r="C1411" t="s">
        <v>7</v>
      </c>
      <c r="D1411" t="s">
        <v>10</v>
      </c>
      <c r="E1411" s="2">
        <v>43336.177291666667</v>
      </c>
      <c r="F1411" t="s">
        <v>298</v>
      </c>
      <c r="G1411" t="s">
        <v>318</v>
      </c>
      <c r="H1411" t="s">
        <v>454</v>
      </c>
      <c r="I1411" t="s">
        <v>492</v>
      </c>
      <c r="J1411" t="s">
        <v>493</v>
      </c>
    </row>
    <row r="1412" spans="1:10" hidden="1" x14ac:dyDescent="0.25">
      <c r="A1412" t="s">
        <v>251</v>
      </c>
      <c r="B1412" t="s">
        <v>6</v>
      </c>
      <c r="C1412" t="s">
        <v>7</v>
      </c>
      <c r="D1412" t="s">
        <v>27</v>
      </c>
      <c r="E1412" s="2">
        <v>43336.17732638889</v>
      </c>
      <c r="F1412" t="s">
        <v>300</v>
      </c>
      <c r="G1412" t="s">
        <v>462</v>
      </c>
      <c r="H1412" t="s">
        <v>439</v>
      </c>
      <c r="I1412" t="s">
        <v>494</v>
      </c>
      <c r="J1412" t="s">
        <v>583</v>
      </c>
    </row>
    <row r="1413" spans="1:10" hidden="1" x14ac:dyDescent="0.25">
      <c r="A1413" t="s">
        <v>96</v>
      </c>
      <c r="B1413" t="s">
        <v>6</v>
      </c>
      <c r="C1413" t="s">
        <v>7</v>
      </c>
      <c r="D1413" t="s">
        <v>13</v>
      </c>
      <c r="E1413" s="2">
        <v>43336.177407407406</v>
      </c>
      <c r="F1413" t="s">
        <v>591</v>
      </c>
      <c r="G1413" t="s">
        <v>318</v>
      </c>
      <c r="H1413" t="s">
        <v>458</v>
      </c>
      <c r="I1413" t="s">
        <v>497</v>
      </c>
      <c r="J1413" t="s">
        <v>497</v>
      </c>
    </row>
    <row r="1414" spans="1:10" hidden="1" x14ac:dyDescent="0.25">
      <c r="A1414" t="s">
        <v>151</v>
      </c>
      <c r="B1414" t="s">
        <v>6</v>
      </c>
      <c r="C1414" t="s">
        <v>7</v>
      </c>
      <c r="D1414" t="s">
        <v>476</v>
      </c>
      <c r="E1414" s="2">
        <v>43336.177430555559</v>
      </c>
      <c r="F1414" t="s">
        <v>299</v>
      </c>
      <c r="G1414" t="s">
        <v>318</v>
      </c>
      <c r="H1414" t="s">
        <v>453</v>
      </c>
      <c r="I1414" t="s">
        <v>492</v>
      </c>
      <c r="J1414" t="s">
        <v>546</v>
      </c>
    </row>
    <row r="1415" spans="1:10" hidden="1" x14ac:dyDescent="0.25">
      <c r="A1415" t="s">
        <v>74</v>
      </c>
      <c r="B1415" t="s">
        <v>6</v>
      </c>
      <c r="C1415" t="s">
        <v>7</v>
      </c>
      <c r="D1415" t="s">
        <v>476</v>
      </c>
      <c r="E1415" s="2">
        <v>43336.17759259259</v>
      </c>
      <c r="F1415" t="s">
        <v>590</v>
      </c>
      <c r="G1415" t="s">
        <v>429</v>
      </c>
      <c r="H1415" t="s">
        <v>445</v>
      </c>
      <c r="I1415" t="s">
        <v>498</v>
      </c>
      <c r="J1415" t="s">
        <v>498</v>
      </c>
    </row>
    <row r="1416" spans="1:10" hidden="1" x14ac:dyDescent="0.25">
      <c r="A1416" t="s">
        <v>259</v>
      </c>
      <c r="B1416" t="s">
        <v>6</v>
      </c>
      <c r="C1416" t="s">
        <v>7</v>
      </c>
      <c r="D1416" t="s">
        <v>10</v>
      </c>
      <c r="E1416" s="2">
        <v>43336.17763888889</v>
      </c>
      <c r="F1416" t="s">
        <v>302</v>
      </c>
      <c r="G1416" t="s">
        <v>455</v>
      </c>
      <c r="H1416" t="s">
        <v>427</v>
      </c>
      <c r="I1416" t="s">
        <v>497</v>
      </c>
      <c r="J1416" t="s">
        <v>497</v>
      </c>
    </row>
    <row r="1417" spans="1:10" hidden="1" x14ac:dyDescent="0.25">
      <c r="A1417" t="s">
        <v>211</v>
      </c>
      <c r="B1417" t="s">
        <v>6</v>
      </c>
      <c r="C1417" t="s">
        <v>7</v>
      </c>
      <c r="D1417" t="s">
        <v>476</v>
      </c>
      <c r="E1417" s="2">
        <v>43336.177766203706</v>
      </c>
      <c r="F1417" t="s">
        <v>303</v>
      </c>
      <c r="G1417" t="s">
        <v>429</v>
      </c>
      <c r="H1417" t="s">
        <v>435</v>
      </c>
      <c r="I1417" t="s">
        <v>494</v>
      </c>
      <c r="J1417" t="s">
        <v>501</v>
      </c>
    </row>
    <row r="1418" spans="1:10" hidden="1" x14ac:dyDescent="0.25">
      <c r="A1418" t="s">
        <v>191</v>
      </c>
      <c r="B1418" t="s">
        <v>6</v>
      </c>
      <c r="C1418" t="s">
        <v>7</v>
      </c>
      <c r="D1418" t="s">
        <v>10</v>
      </c>
      <c r="E1418" s="2">
        <v>43336.177893518521</v>
      </c>
      <c r="F1418" t="s">
        <v>585</v>
      </c>
      <c r="G1418" t="s">
        <v>318</v>
      </c>
      <c r="H1418" t="s">
        <v>461</v>
      </c>
      <c r="I1418" t="s">
        <v>494</v>
      </c>
      <c r="J1418" t="s">
        <v>501</v>
      </c>
    </row>
    <row r="1419" spans="1:10" hidden="1" x14ac:dyDescent="0.25">
      <c r="A1419" t="s">
        <v>332</v>
      </c>
      <c r="B1419" t="s">
        <v>6</v>
      </c>
      <c r="C1419" t="s">
        <v>7</v>
      </c>
      <c r="D1419" t="s">
        <v>27</v>
      </c>
      <c r="E1419" s="2">
        <v>43336.177916666667</v>
      </c>
      <c r="F1419" t="s">
        <v>587</v>
      </c>
      <c r="G1419" t="s">
        <v>458</v>
      </c>
      <c r="H1419" t="s">
        <v>439</v>
      </c>
      <c r="I1419" t="s">
        <v>577</v>
      </c>
      <c r="J1419" t="s">
        <v>491</v>
      </c>
    </row>
    <row r="1420" spans="1:10" hidden="1" x14ac:dyDescent="0.25">
      <c r="A1420" t="s">
        <v>312</v>
      </c>
      <c r="B1420" t="s">
        <v>6</v>
      </c>
      <c r="C1420" t="s">
        <v>7</v>
      </c>
      <c r="D1420" t="s">
        <v>27</v>
      </c>
      <c r="E1420" s="2">
        <v>43336.17800925926</v>
      </c>
      <c r="F1420" t="s">
        <v>586</v>
      </c>
      <c r="G1420" t="s">
        <v>318</v>
      </c>
      <c r="H1420" t="s">
        <v>430</v>
      </c>
      <c r="I1420" t="s">
        <v>490</v>
      </c>
      <c r="J1420" t="s">
        <v>491</v>
      </c>
    </row>
    <row r="1421" spans="1:10" hidden="1" x14ac:dyDescent="0.25">
      <c r="A1421" t="s">
        <v>72</v>
      </c>
      <c r="B1421" t="s">
        <v>6</v>
      </c>
      <c r="C1421" t="s">
        <v>7</v>
      </c>
      <c r="D1421" t="s">
        <v>476</v>
      </c>
      <c r="E1421" s="2">
        <v>43336.178067129629</v>
      </c>
      <c r="F1421" t="s">
        <v>591</v>
      </c>
      <c r="G1421" t="s">
        <v>318</v>
      </c>
      <c r="H1421" t="s">
        <v>459</v>
      </c>
      <c r="I1421" t="s">
        <v>497</v>
      </c>
      <c r="J1421" t="s">
        <v>497</v>
      </c>
    </row>
    <row r="1422" spans="1:10" hidden="1" x14ac:dyDescent="0.25">
      <c r="A1422" t="s">
        <v>108</v>
      </c>
      <c r="B1422" t="s">
        <v>6</v>
      </c>
      <c r="C1422" t="s">
        <v>7</v>
      </c>
      <c r="D1422" t="s">
        <v>476</v>
      </c>
      <c r="E1422" s="2">
        <v>43336.178067129629</v>
      </c>
      <c r="F1422" t="s">
        <v>299</v>
      </c>
      <c r="G1422" t="s">
        <v>318</v>
      </c>
      <c r="H1422" t="s">
        <v>454</v>
      </c>
      <c r="I1422" t="s">
        <v>492</v>
      </c>
      <c r="J1422" t="s">
        <v>546</v>
      </c>
    </row>
    <row r="1423" spans="1:10" hidden="1" x14ac:dyDescent="0.25">
      <c r="A1423" t="s">
        <v>252</v>
      </c>
      <c r="B1423" t="s">
        <v>6</v>
      </c>
      <c r="C1423" t="s">
        <v>7</v>
      </c>
      <c r="D1423" t="s">
        <v>27</v>
      </c>
      <c r="E1423" s="2">
        <v>43336.178171296298</v>
      </c>
      <c r="F1423" t="s">
        <v>300</v>
      </c>
      <c r="G1423" t="s">
        <v>462</v>
      </c>
      <c r="H1423" t="s">
        <v>440</v>
      </c>
      <c r="I1423" t="s">
        <v>494</v>
      </c>
      <c r="J1423" t="s">
        <v>583</v>
      </c>
    </row>
    <row r="1424" spans="1:10" hidden="1" x14ac:dyDescent="0.25">
      <c r="A1424" t="s">
        <v>193</v>
      </c>
      <c r="B1424" t="s">
        <v>6</v>
      </c>
      <c r="C1424" t="s">
        <v>7</v>
      </c>
      <c r="D1424" t="s">
        <v>476</v>
      </c>
      <c r="E1424" s="2">
        <v>43336.178229166668</v>
      </c>
      <c r="F1424" t="s">
        <v>302</v>
      </c>
      <c r="G1424" t="s">
        <v>455</v>
      </c>
      <c r="H1424" t="s">
        <v>428</v>
      </c>
      <c r="I1424" t="s">
        <v>497</v>
      </c>
      <c r="J1424" t="s">
        <v>497</v>
      </c>
    </row>
    <row r="1425" spans="1:10" hidden="1" x14ac:dyDescent="0.25">
      <c r="A1425" t="s">
        <v>77</v>
      </c>
      <c r="B1425" t="s">
        <v>6</v>
      </c>
      <c r="C1425" t="s">
        <v>7</v>
      </c>
      <c r="D1425" t="s">
        <v>13</v>
      </c>
      <c r="E1425" s="2">
        <v>43336.17832175926</v>
      </c>
      <c r="F1425" t="s">
        <v>590</v>
      </c>
      <c r="G1425" t="s">
        <v>429</v>
      </c>
      <c r="H1425" t="s">
        <v>446</v>
      </c>
      <c r="I1425" t="s">
        <v>498</v>
      </c>
      <c r="J1425" t="s">
        <v>498</v>
      </c>
    </row>
    <row r="1426" spans="1:10" hidden="1" x14ac:dyDescent="0.25">
      <c r="A1426" t="s">
        <v>47</v>
      </c>
      <c r="B1426" t="s">
        <v>6</v>
      </c>
      <c r="C1426" t="s">
        <v>7</v>
      </c>
      <c r="D1426" t="s">
        <v>10</v>
      </c>
      <c r="E1426" s="2">
        <v>43336.178495370368</v>
      </c>
      <c r="F1426" t="s">
        <v>585</v>
      </c>
      <c r="G1426" t="s">
        <v>318</v>
      </c>
      <c r="H1426" t="s">
        <v>462</v>
      </c>
      <c r="I1426" t="s">
        <v>494</v>
      </c>
      <c r="J1426" t="s">
        <v>501</v>
      </c>
    </row>
    <row r="1427" spans="1:10" hidden="1" x14ac:dyDescent="0.25">
      <c r="A1427" t="s">
        <v>141</v>
      </c>
      <c r="B1427" t="s">
        <v>6</v>
      </c>
      <c r="C1427" t="s">
        <v>7</v>
      </c>
      <c r="D1427" t="s">
        <v>27</v>
      </c>
      <c r="E1427" s="2">
        <v>43336.178530092591</v>
      </c>
      <c r="F1427" t="s">
        <v>303</v>
      </c>
      <c r="G1427" t="s">
        <v>429</v>
      </c>
      <c r="H1427" t="s">
        <v>436</v>
      </c>
      <c r="I1427" t="s">
        <v>494</v>
      </c>
      <c r="J1427" t="s">
        <v>501</v>
      </c>
    </row>
    <row r="1428" spans="1:10" hidden="1" x14ac:dyDescent="0.25">
      <c r="A1428" t="s">
        <v>350</v>
      </c>
      <c r="B1428" t="s">
        <v>6</v>
      </c>
      <c r="C1428" t="s">
        <v>7</v>
      </c>
      <c r="D1428" t="s">
        <v>10</v>
      </c>
      <c r="E1428" s="2">
        <v>43336.178541666668</v>
      </c>
      <c r="F1428" t="s">
        <v>587</v>
      </c>
      <c r="G1428" t="s">
        <v>458</v>
      </c>
      <c r="H1428" t="s">
        <v>440</v>
      </c>
      <c r="I1428" t="s">
        <v>576</v>
      </c>
      <c r="J1428" t="s">
        <v>491</v>
      </c>
    </row>
    <row r="1429" spans="1:10" hidden="1" x14ac:dyDescent="0.25">
      <c r="A1429" t="s">
        <v>166</v>
      </c>
      <c r="B1429" t="s">
        <v>6</v>
      </c>
      <c r="C1429" t="s">
        <v>7</v>
      </c>
      <c r="D1429" t="s">
        <v>8</v>
      </c>
      <c r="E1429" s="2">
        <v>43336.178680555553</v>
      </c>
      <c r="F1429" t="s">
        <v>298</v>
      </c>
      <c r="G1429" t="s">
        <v>318</v>
      </c>
      <c r="H1429" t="s">
        <v>455</v>
      </c>
      <c r="I1429" t="s">
        <v>492</v>
      </c>
      <c r="J1429" t="s">
        <v>493</v>
      </c>
    </row>
    <row r="1430" spans="1:10" hidden="1" x14ac:dyDescent="0.25">
      <c r="A1430" t="s">
        <v>101</v>
      </c>
      <c r="B1430" t="s">
        <v>6</v>
      </c>
      <c r="C1430" t="s">
        <v>7</v>
      </c>
      <c r="D1430" t="s">
        <v>10</v>
      </c>
      <c r="E1430" s="2">
        <v>43336.178738425922</v>
      </c>
      <c r="F1430" t="s">
        <v>299</v>
      </c>
      <c r="G1430" t="s">
        <v>318</v>
      </c>
      <c r="H1430" t="s">
        <v>455</v>
      </c>
      <c r="I1430" t="s">
        <v>492</v>
      </c>
      <c r="J1430" t="s">
        <v>546</v>
      </c>
    </row>
    <row r="1431" spans="1:10" hidden="1" x14ac:dyDescent="0.25">
      <c r="A1431" t="s">
        <v>313</v>
      </c>
      <c r="B1431" t="s">
        <v>6</v>
      </c>
      <c r="C1431" t="s">
        <v>7</v>
      </c>
      <c r="D1431" t="s">
        <v>27</v>
      </c>
      <c r="E1431" s="2">
        <v>43336.178749999999</v>
      </c>
      <c r="F1431" t="s">
        <v>586</v>
      </c>
      <c r="G1431" t="s">
        <v>318</v>
      </c>
      <c r="H1431" t="s">
        <v>431</v>
      </c>
      <c r="I1431" t="s">
        <v>490</v>
      </c>
      <c r="J1431" t="s">
        <v>491</v>
      </c>
    </row>
    <row r="1432" spans="1:10" hidden="1" x14ac:dyDescent="0.25">
      <c r="A1432" t="s">
        <v>122</v>
      </c>
      <c r="B1432" t="s">
        <v>6</v>
      </c>
      <c r="C1432" t="s">
        <v>7</v>
      </c>
      <c r="D1432" t="s">
        <v>13</v>
      </c>
      <c r="E1432" s="2">
        <v>43336.178831018522</v>
      </c>
      <c r="F1432" t="s">
        <v>591</v>
      </c>
      <c r="G1432" t="s">
        <v>318</v>
      </c>
      <c r="H1432" t="s">
        <v>460</v>
      </c>
      <c r="I1432" t="s">
        <v>497</v>
      </c>
      <c r="J1432" t="s">
        <v>497</v>
      </c>
    </row>
    <row r="1433" spans="1:10" hidden="1" x14ac:dyDescent="0.25">
      <c r="A1433" t="s">
        <v>190</v>
      </c>
      <c r="B1433" t="s">
        <v>6</v>
      </c>
      <c r="C1433" t="s">
        <v>7</v>
      </c>
      <c r="D1433" t="s">
        <v>476</v>
      </c>
      <c r="E1433" s="2">
        <v>43336.178842592592</v>
      </c>
      <c r="F1433" t="s">
        <v>302</v>
      </c>
      <c r="G1433" t="s">
        <v>455</v>
      </c>
      <c r="H1433" t="s">
        <v>429</v>
      </c>
      <c r="I1433" t="s">
        <v>497</v>
      </c>
      <c r="J1433" t="s">
        <v>497</v>
      </c>
    </row>
    <row r="1434" spans="1:10" hidden="1" x14ac:dyDescent="0.25">
      <c r="A1434" t="s">
        <v>253</v>
      </c>
      <c r="B1434" t="s">
        <v>6</v>
      </c>
      <c r="C1434" t="s">
        <v>7</v>
      </c>
      <c r="D1434" t="s">
        <v>27</v>
      </c>
      <c r="E1434" s="2">
        <v>43336.178923611114</v>
      </c>
      <c r="F1434" t="s">
        <v>300</v>
      </c>
      <c r="G1434" t="s">
        <v>462</v>
      </c>
      <c r="H1434" t="s">
        <v>441</v>
      </c>
      <c r="I1434" t="s">
        <v>494</v>
      </c>
      <c r="J1434" t="s">
        <v>583</v>
      </c>
    </row>
    <row r="1435" spans="1:10" hidden="1" x14ac:dyDescent="0.25">
      <c r="A1435" t="s">
        <v>26</v>
      </c>
      <c r="B1435" t="s">
        <v>6</v>
      </c>
      <c r="C1435" t="s">
        <v>7</v>
      </c>
      <c r="D1435" t="s">
        <v>13</v>
      </c>
      <c r="E1435" s="2">
        <v>43336.179062499999</v>
      </c>
      <c r="F1435" t="s">
        <v>590</v>
      </c>
      <c r="G1435" t="s">
        <v>429</v>
      </c>
      <c r="H1435" t="s">
        <v>447</v>
      </c>
      <c r="I1435" t="s">
        <v>498</v>
      </c>
      <c r="J1435" t="s">
        <v>498</v>
      </c>
    </row>
    <row r="1436" spans="1:10" hidden="1" x14ac:dyDescent="0.25">
      <c r="A1436" t="s">
        <v>45</v>
      </c>
      <c r="B1436" t="s">
        <v>6</v>
      </c>
      <c r="C1436" t="s">
        <v>7</v>
      </c>
      <c r="D1436" t="s">
        <v>10</v>
      </c>
      <c r="E1436" s="2">
        <v>43336.179120370369</v>
      </c>
      <c r="F1436" t="s">
        <v>585</v>
      </c>
      <c r="G1436" t="s">
        <v>318</v>
      </c>
      <c r="H1436" t="s">
        <v>453</v>
      </c>
      <c r="I1436" t="s">
        <v>494</v>
      </c>
      <c r="J1436" t="s">
        <v>501</v>
      </c>
    </row>
    <row r="1437" spans="1:10" hidden="1" x14ac:dyDescent="0.25">
      <c r="A1437" t="s">
        <v>127</v>
      </c>
      <c r="B1437" t="s">
        <v>6</v>
      </c>
      <c r="C1437" t="s">
        <v>7</v>
      </c>
      <c r="D1437" t="s">
        <v>10</v>
      </c>
      <c r="E1437" s="2">
        <v>43336.179212962961</v>
      </c>
      <c r="F1437" t="s">
        <v>303</v>
      </c>
      <c r="G1437" t="s">
        <v>429</v>
      </c>
      <c r="H1437" t="s">
        <v>437</v>
      </c>
      <c r="I1437" t="s">
        <v>494</v>
      </c>
      <c r="J1437" t="s">
        <v>501</v>
      </c>
    </row>
    <row r="1438" spans="1:10" hidden="1" x14ac:dyDescent="0.25">
      <c r="A1438" t="s">
        <v>334</v>
      </c>
      <c r="B1438" t="s">
        <v>6</v>
      </c>
      <c r="C1438" t="s">
        <v>7</v>
      </c>
      <c r="D1438" t="s">
        <v>27</v>
      </c>
      <c r="E1438" s="2">
        <v>43336.179282407407</v>
      </c>
      <c r="F1438" t="s">
        <v>587</v>
      </c>
      <c r="G1438" t="s">
        <v>458</v>
      </c>
      <c r="H1438" t="s">
        <v>441</v>
      </c>
      <c r="I1438" t="s">
        <v>578</v>
      </c>
      <c r="J1438" t="s">
        <v>491</v>
      </c>
    </row>
    <row r="1439" spans="1:10" hidden="1" x14ac:dyDescent="0.25">
      <c r="A1439" t="s">
        <v>180</v>
      </c>
      <c r="B1439" t="s">
        <v>6</v>
      </c>
      <c r="C1439" t="s">
        <v>7</v>
      </c>
      <c r="D1439" t="s">
        <v>10</v>
      </c>
      <c r="E1439" s="2">
        <v>43336.179282407407</v>
      </c>
      <c r="F1439" t="s">
        <v>298</v>
      </c>
      <c r="G1439" t="s">
        <v>318</v>
      </c>
      <c r="H1439" t="s">
        <v>456</v>
      </c>
      <c r="I1439" t="s">
        <v>492</v>
      </c>
      <c r="J1439" t="s">
        <v>493</v>
      </c>
    </row>
    <row r="1440" spans="1:10" hidden="1" x14ac:dyDescent="0.25">
      <c r="A1440" t="s">
        <v>204</v>
      </c>
      <c r="B1440" t="s">
        <v>6</v>
      </c>
      <c r="C1440" t="s">
        <v>7</v>
      </c>
      <c r="D1440" t="s">
        <v>10</v>
      </c>
      <c r="E1440" s="2">
        <v>43336.179386574076</v>
      </c>
      <c r="F1440" t="s">
        <v>299</v>
      </c>
      <c r="G1440" t="s">
        <v>318</v>
      </c>
      <c r="H1440" t="s">
        <v>456</v>
      </c>
      <c r="I1440" t="s">
        <v>492</v>
      </c>
      <c r="J1440" t="s">
        <v>546</v>
      </c>
    </row>
    <row r="1441" spans="1:10" hidden="1" x14ac:dyDescent="0.25">
      <c r="A1441" t="s">
        <v>188</v>
      </c>
      <c r="B1441" t="s">
        <v>6</v>
      </c>
      <c r="C1441" t="s">
        <v>7</v>
      </c>
      <c r="D1441" t="s">
        <v>476</v>
      </c>
      <c r="E1441" s="2">
        <v>43336.179444444446</v>
      </c>
      <c r="F1441" t="s">
        <v>302</v>
      </c>
      <c r="G1441" t="s">
        <v>455</v>
      </c>
      <c r="H1441" t="s">
        <v>430</v>
      </c>
      <c r="I1441" t="s">
        <v>497</v>
      </c>
      <c r="J1441" t="s">
        <v>497</v>
      </c>
    </row>
    <row r="1442" spans="1:10" hidden="1" x14ac:dyDescent="0.25">
      <c r="A1442" t="s">
        <v>314</v>
      </c>
      <c r="B1442" t="s">
        <v>6</v>
      </c>
      <c r="C1442" t="s">
        <v>7</v>
      </c>
      <c r="D1442" t="s">
        <v>27</v>
      </c>
      <c r="E1442" s="2">
        <v>43336.179502314815</v>
      </c>
      <c r="F1442" t="s">
        <v>586</v>
      </c>
      <c r="G1442" t="s">
        <v>318</v>
      </c>
      <c r="H1442" t="s">
        <v>432</v>
      </c>
      <c r="I1442" t="s">
        <v>490</v>
      </c>
      <c r="J1442" t="s">
        <v>491</v>
      </c>
    </row>
    <row r="1443" spans="1:10" hidden="1" x14ac:dyDescent="0.25">
      <c r="A1443" t="s">
        <v>254</v>
      </c>
      <c r="B1443" t="s">
        <v>6</v>
      </c>
      <c r="C1443" t="s">
        <v>7</v>
      </c>
      <c r="D1443" t="s">
        <v>10</v>
      </c>
      <c r="E1443" s="2">
        <v>43336.179537037038</v>
      </c>
      <c r="F1443" t="s">
        <v>300</v>
      </c>
      <c r="G1443" t="s">
        <v>462</v>
      </c>
      <c r="H1443" t="s">
        <v>442</v>
      </c>
      <c r="I1443" t="s">
        <v>494</v>
      </c>
      <c r="J1443" t="s">
        <v>583</v>
      </c>
    </row>
    <row r="1444" spans="1:10" hidden="1" x14ac:dyDescent="0.25">
      <c r="A1444" t="s">
        <v>181</v>
      </c>
      <c r="B1444" t="s">
        <v>6</v>
      </c>
      <c r="C1444" t="s">
        <v>7</v>
      </c>
      <c r="D1444" t="s">
        <v>13</v>
      </c>
      <c r="E1444" s="2">
        <v>43336.179594907408</v>
      </c>
      <c r="F1444" t="s">
        <v>591</v>
      </c>
      <c r="G1444" t="s">
        <v>318</v>
      </c>
      <c r="H1444" t="s">
        <v>461</v>
      </c>
      <c r="I1444" t="s">
        <v>497</v>
      </c>
      <c r="J1444" t="s">
        <v>497</v>
      </c>
    </row>
    <row r="1445" spans="1:10" hidden="1" x14ac:dyDescent="0.25">
      <c r="A1445" t="s">
        <v>281</v>
      </c>
      <c r="B1445" t="s">
        <v>6</v>
      </c>
      <c r="C1445" t="s">
        <v>7</v>
      </c>
      <c r="D1445" t="s">
        <v>10</v>
      </c>
      <c r="E1445" s="2">
        <v>43336.179664351854</v>
      </c>
      <c r="F1445" t="s">
        <v>590</v>
      </c>
      <c r="G1445" t="s">
        <v>429</v>
      </c>
      <c r="H1445" t="s">
        <v>448</v>
      </c>
      <c r="I1445" t="s">
        <v>499</v>
      </c>
      <c r="J1445" t="s">
        <v>497</v>
      </c>
    </row>
    <row r="1446" spans="1:10" hidden="1" x14ac:dyDescent="0.25">
      <c r="A1446" t="s">
        <v>146</v>
      </c>
      <c r="B1446" t="s">
        <v>6</v>
      </c>
      <c r="C1446" t="s">
        <v>7</v>
      </c>
      <c r="D1446" t="s">
        <v>10</v>
      </c>
      <c r="E1446" s="2">
        <v>43336.1797337963</v>
      </c>
      <c r="F1446" t="s">
        <v>585</v>
      </c>
      <c r="G1446" t="s">
        <v>318</v>
      </c>
      <c r="H1446" t="s">
        <v>454</v>
      </c>
      <c r="I1446" t="s">
        <v>494</v>
      </c>
      <c r="J1446" t="s">
        <v>501</v>
      </c>
    </row>
    <row r="1447" spans="1:10" hidden="1" x14ac:dyDescent="0.25">
      <c r="A1447" t="s">
        <v>210</v>
      </c>
      <c r="B1447" t="s">
        <v>6</v>
      </c>
      <c r="C1447" t="s">
        <v>7</v>
      </c>
      <c r="D1447" t="s">
        <v>10</v>
      </c>
      <c r="E1447" s="2">
        <v>43336.179826388892</v>
      </c>
      <c r="F1447" t="s">
        <v>303</v>
      </c>
      <c r="G1447" t="s">
        <v>429</v>
      </c>
      <c r="H1447" t="s">
        <v>438</v>
      </c>
      <c r="I1447" t="s">
        <v>494</v>
      </c>
      <c r="J1447" t="s">
        <v>501</v>
      </c>
    </row>
    <row r="1448" spans="1:10" hidden="1" x14ac:dyDescent="0.25">
      <c r="A1448" t="s">
        <v>160</v>
      </c>
      <c r="B1448" t="s">
        <v>6</v>
      </c>
      <c r="C1448" t="s">
        <v>7</v>
      </c>
      <c r="D1448" t="s">
        <v>10</v>
      </c>
      <c r="E1448" s="2">
        <v>43336.179895833331</v>
      </c>
      <c r="F1448" t="s">
        <v>298</v>
      </c>
      <c r="G1448" t="s">
        <v>318</v>
      </c>
      <c r="H1448" t="s">
        <v>426</v>
      </c>
      <c r="I1448" t="s">
        <v>492</v>
      </c>
      <c r="J1448" t="s">
        <v>493</v>
      </c>
    </row>
    <row r="1449" spans="1:10" hidden="1" x14ac:dyDescent="0.25">
      <c r="A1449" t="s">
        <v>351</v>
      </c>
      <c r="B1449" t="s">
        <v>6</v>
      </c>
      <c r="C1449" t="s">
        <v>7</v>
      </c>
      <c r="D1449" t="s">
        <v>10</v>
      </c>
      <c r="E1449" s="2">
        <v>43336.179907407408</v>
      </c>
      <c r="F1449" t="s">
        <v>587</v>
      </c>
      <c r="G1449" t="s">
        <v>458</v>
      </c>
      <c r="H1449" t="s">
        <v>442</v>
      </c>
      <c r="I1449" t="s">
        <v>580</v>
      </c>
      <c r="J1449" t="s">
        <v>491</v>
      </c>
    </row>
    <row r="1450" spans="1:10" hidden="1" x14ac:dyDescent="0.25">
      <c r="A1450" t="s">
        <v>260</v>
      </c>
      <c r="B1450" t="s">
        <v>6</v>
      </c>
      <c r="C1450" t="s">
        <v>7</v>
      </c>
      <c r="D1450" t="s">
        <v>476</v>
      </c>
      <c r="E1450" s="2">
        <v>43336.180023148147</v>
      </c>
      <c r="F1450" t="s">
        <v>302</v>
      </c>
      <c r="G1450" t="s">
        <v>455</v>
      </c>
      <c r="H1450" t="s">
        <v>431</v>
      </c>
      <c r="I1450" t="s">
        <v>528</v>
      </c>
      <c r="J1450" t="s">
        <v>529</v>
      </c>
    </row>
    <row r="1451" spans="1:10" hidden="1" x14ac:dyDescent="0.25">
      <c r="A1451" t="s">
        <v>118</v>
      </c>
      <c r="B1451" t="s">
        <v>6</v>
      </c>
      <c r="C1451" t="s">
        <v>7</v>
      </c>
      <c r="D1451" t="s">
        <v>10</v>
      </c>
      <c r="E1451" s="2">
        <v>43336.180034722223</v>
      </c>
      <c r="F1451" t="s">
        <v>299</v>
      </c>
      <c r="G1451" t="s">
        <v>318</v>
      </c>
      <c r="H1451" t="s">
        <v>426</v>
      </c>
      <c r="I1451" t="s">
        <v>492</v>
      </c>
      <c r="J1451" t="s">
        <v>546</v>
      </c>
    </row>
    <row r="1452" spans="1:10" hidden="1" x14ac:dyDescent="0.25">
      <c r="A1452" t="s">
        <v>80</v>
      </c>
      <c r="B1452" t="s">
        <v>6</v>
      </c>
      <c r="C1452" t="s">
        <v>7</v>
      </c>
      <c r="D1452" t="s">
        <v>476</v>
      </c>
      <c r="E1452" s="2">
        <v>43336.180231481485</v>
      </c>
      <c r="F1452" t="s">
        <v>591</v>
      </c>
      <c r="G1452" t="s">
        <v>318</v>
      </c>
      <c r="H1452" t="s">
        <v>462</v>
      </c>
      <c r="I1452" t="s">
        <v>497</v>
      </c>
      <c r="J1452" t="s">
        <v>497</v>
      </c>
    </row>
    <row r="1453" spans="1:10" hidden="1" x14ac:dyDescent="0.25">
      <c r="A1453" t="s">
        <v>315</v>
      </c>
      <c r="B1453" t="s">
        <v>6</v>
      </c>
      <c r="C1453" t="s">
        <v>7</v>
      </c>
      <c r="D1453" t="s">
        <v>27</v>
      </c>
      <c r="E1453" s="2">
        <v>43336.180243055554</v>
      </c>
      <c r="F1453" t="s">
        <v>586</v>
      </c>
      <c r="G1453" t="s">
        <v>318</v>
      </c>
      <c r="H1453" t="s">
        <v>433</v>
      </c>
      <c r="I1453" t="s">
        <v>490</v>
      </c>
      <c r="J1453" t="s">
        <v>491</v>
      </c>
    </row>
    <row r="1454" spans="1:10" hidden="1" x14ac:dyDescent="0.25">
      <c r="A1454" t="s">
        <v>115</v>
      </c>
      <c r="B1454" t="s">
        <v>6</v>
      </c>
      <c r="C1454" t="s">
        <v>7</v>
      </c>
      <c r="D1454" t="s">
        <v>10</v>
      </c>
      <c r="E1454" s="2">
        <v>43336.180289351854</v>
      </c>
      <c r="F1454" t="s">
        <v>590</v>
      </c>
      <c r="G1454" t="s">
        <v>429</v>
      </c>
      <c r="H1454" t="s">
        <v>449</v>
      </c>
      <c r="I1454" t="s">
        <v>499</v>
      </c>
      <c r="J1454" t="s">
        <v>497</v>
      </c>
    </row>
    <row r="1455" spans="1:10" hidden="1" x14ac:dyDescent="0.25">
      <c r="A1455" t="s">
        <v>255</v>
      </c>
      <c r="B1455" t="s">
        <v>6</v>
      </c>
      <c r="C1455" t="s">
        <v>7</v>
      </c>
      <c r="D1455" t="s">
        <v>27</v>
      </c>
      <c r="E1455" s="2">
        <v>43336.180324074077</v>
      </c>
      <c r="F1455" t="s">
        <v>300</v>
      </c>
      <c r="G1455" t="s">
        <v>462</v>
      </c>
      <c r="H1455" t="s">
        <v>443</v>
      </c>
      <c r="I1455" t="s">
        <v>494</v>
      </c>
      <c r="J1455" t="s">
        <v>583</v>
      </c>
    </row>
    <row r="1456" spans="1:10" hidden="1" x14ac:dyDescent="0.25">
      <c r="A1456" t="s">
        <v>291</v>
      </c>
      <c r="B1456" t="s">
        <v>6</v>
      </c>
      <c r="C1456" t="s">
        <v>7</v>
      </c>
      <c r="D1456" t="s">
        <v>10</v>
      </c>
      <c r="E1456" s="2">
        <v>43336.180335648147</v>
      </c>
      <c r="F1456" t="s">
        <v>585</v>
      </c>
      <c r="G1456" t="s">
        <v>318</v>
      </c>
      <c r="H1456" t="s">
        <v>455</v>
      </c>
      <c r="I1456" t="s">
        <v>494</v>
      </c>
      <c r="J1456" t="s">
        <v>501</v>
      </c>
    </row>
    <row r="1457" spans="1:10" hidden="1" x14ac:dyDescent="0.25">
      <c r="A1457" t="s">
        <v>209</v>
      </c>
      <c r="B1457" t="s">
        <v>6</v>
      </c>
      <c r="C1457" t="s">
        <v>7</v>
      </c>
      <c r="D1457" t="s">
        <v>10</v>
      </c>
      <c r="E1457" s="2">
        <v>43336.180462962962</v>
      </c>
      <c r="F1457" t="s">
        <v>303</v>
      </c>
      <c r="G1457" t="s">
        <v>429</v>
      </c>
      <c r="H1457" t="s">
        <v>439</v>
      </c>
      <c r="I1457" t="s">
        <v>494</v>
      </c>
      <c r="J1457" t="s">
        <v>501</v>
      </c>
    </row>
    <row r="1458" spans="1:10" hidden="1" x14ac:dyDescent="0.25">
      <c r="A1458" t="s">
        <v>157</v>
      </c>
      <c r="B1458" t="s">
        <v>6</v>
      </c>
      <c r="C1458" t="s">
        <v>7</v>
      </c>
      <c r="D1458" t="s">
        <v>13</v>
      </c>
      <c r="E1458" s="2">
        <v>43336.180601851855</v>
      </c>
      <c r="F1458" t="s">
        <v>298</v>
      </c>
      <c r="G1458" t="s">
        <v>318</v>
      </c>
      <c r="H1458" t="s">
        <v>427</v>
      </c>
      <c r="I1458" t="s">
        <v>13</v>
      </c>
      <c r="J1458" t="s">
        <v>535</v>
      </c>
    </row>
    <row r="1459" spans="1:10" hidden="1" x14ac:dyDescent="0.25">
      <c r="A1459" t="s">
        <v>196</v>
      </c>
      <c r="B1459" t="s">
        <v>6</v>
      </c>
      <c r="C1459" t="s">
        <v>7</v>
      </c>
      <c r="D1459" t="s">
        <v>10</v>
      </c>
      <c r="E1459" s="2">
        <v>43336.180613425924</v>
      </c>
      <c r="F1459" t="s">
        <v>302</v>
      </c>
      <c r="G1459" t="s">
        <v>455</v>
      </c>
      <c r="H1459" t="s">
        <v>432</v>
      </c>
      <c r="I1459" t="s">
        <v>528</v>
      </c>
      <c r="J1459" t="s">
        <v>529</v>
      </c>
    </row>
    <row r="1460" spans="1:10" hidden="1" x14ac:dyDescent="0.25">
      <c r="A1460" t="s">
        <v>352</v>
      </c>
      <c r="B1460" t="s">
        <v>6</v>
      </c>
      <c r="C1460" t="s">
        <v>7</v>
      </c>
      <c r="D1460" t="s">
        <v>27</v>
      </c>
      <c r="E1460" s="2">
        <v>43336.180659722224</v>
      </c>
      <c r="F1460" t="s">
        <v>587</v>
      </c>
      <c r="G1460" t="s">
        <v>458</v>
      </c>
      <c r="H1460" t="s">
        <v>443</v>
      </c>
      <c r="I1460" t="s">
        <v>579</v>
      </c>
      <c r="J1460" t="s">
        <v>491</v>
      </c>
    </row>
    <row r="1461" spans="1:10" hidden="1" x14ac:dyDescent="0.25">
      <c r="A1461" t="s">
        <v>79</v>
      </c>
      <c r="B1461" t="s">
        <v>6</v>
      </c>
      <c r="C1461" t="s">
        <v>7</v>
      </c>
      <c r="D1461" t="s">
        <v>476</v>
      </c>
      <c r="E1461" s="2">
        <v>43336.180671296293</v>
      </c>
      <c r="F1461" t="s">
        <v>299</v>
      </c>
      <c r="G1461" t="s">
        <v>318</v>
      </c>
      <c r="H1461" t="s">
        <v>427</v>
      </c>
      <c r="I1461" t="s">
        <v>492</v>
      </c>
      <c r="J1461" t="s">
        <v>546</v>
      </c>
    </row>
    <row r="1462" spans="1:10" hidden="1" x14ac:dyDescent="0.25">
      <c r="A1462" t="s">
        <v>395</v>
      </c>
      <c r="B1462" t="s">
        <v>6</v>
      </c>
      <c r="C1462" t="s">
        <v>7</v>
      </c>
      <c r="D1462" t="s">
        <v>13</v>
      </c>
      <c r="E1462" s="2">
        <v>43336.180972222224</v>
      </c>
      <c r="F1462" t="s">
        <v>591</v>
      </c>
      <c r="G1462" t="s">
        <v>318</v>
      </c>
      <c r="H1462" t="s">
        <v>453</v>
      </c>
      <c r="I1462" t="s">
        <v>548</v>
      </c>
      <c r="J1462" t="s">
        <v>549</v>
      </c>
    </row>
    <row r="1463" spans="1:10" hidden="1" x14ac:dyDescent="0.25">
      <c r="A1463" t="s">
        <v>316</v>
      </c>
      <c r="B1463" t="s">
        <v>6</v>
      </c>
      <c r="C1463" t="s">
        <v>7</v>
      </c>
      <c r="D1463" t="s">
        <v>27</v>
      </c>
      <c r="E1463" s="2">
        <v>43336.180983796294</v>
      </c>
      <c r="F1463" t="s">
        <v>586</v>
      </c>
      <c r="G1463" t="s">
        <v>318</v>
      </c>
      <c r="H1463" t="s">
        <v>434</v>
      </c>
      <c r="I1463" t="s">
        <v>490</v>
      </c>
      <c r="J1463" t="s">
        <v>491</v>
      </c>
    </row>
    <row r="1464" spans="1:10" hidden="1" x14ac:dyDescent="0.25">
      <c r="A1464" t="s">
        <v>244</v>
      </c>
      <c r="B1464" t="s">
        <v>6</v>
      </c>
      <c r="C1464" t="s">
        <v>7</v>
      </c>
      <c r="D1464" t="s">
        <v>10</v>
      </c>
      <c r="E1464" s="2">
        <v>43336.180995370371</v>
      </c>
      <c r="F1464" t="s">
        <v>300</v>
      </c>
      <c r="G1464" t="s">
        <v>462</v>
      </c>
      <c r="H1464" t="s">
        <v>444</v>
      </c>
      <c r="I1464" t="s">
        <v>494</v>
      </c>
      <c r="J1464" t="s">
        <v>583</v>
      </c>
    </row>
    <row r="1465" spans="1:10" hidden="1" x14ac:dyDescent="0.25">
      <c r="A1465" t="s">
        <v>186</v>
      </c>
      <c r="B1465" t="s">
        <v>6</v>
      </c>
      <c r="C1465" t="s">
        <v>7</v>
      </c>
      <c r="D1465" t="s">
        <v>476</v>
      </c>
      <c r="E1465" s="2">
        <v>43336.181006944447</v>
      </c>
      <c r="F1465" t="s">
        <v>590</v>
      </c>
      <c r="G1465" t="s">
        <v>429</v>
      </c>
      <c r="H1465" t="s">
        <v>450</v>
      </c>
      <c r="I1465" t="s">
        <v>496</v>
      </c>
      <c r="J1465" t="s">
        <v>497</v>
      </c>
    </row>
    <row r="1466" spans="1:10" hidden="1" x14ac:dyDescent="0.25">
      <c r="A1466" t="s">
        <v>179</v>
      </c>
      <c r="B1466" t="s">
        <v>6</v>
      </c>
      <c r="C1466" t="s">
        <v>7</v>
      </c>
      <c r="D1466" t="s">
        <v>10</v>
      </c>
      <c r="E1466" s="2">
        <v>43336.181111111109</v>
      </c>
      <c r="F1466" t="s">
        <v>303</v>
      </c>
      <c r="G1466" t="s">
        <v>429</v>
      </c>
      <c r="H1466" t="s">
        <v>440</v>
      </c>
      <c r="I1466" t="s">
        <v>494</v>
      </c>
      <c r="J1466" t="s">
        <v>501</v>
      </c>
    </row>
    <row r="1467" spans="1:10" hidden="1" x14ac:dyDescent="0.25">
      <c r="A1467" t="s">
        <v>292</v>
      </c>
      <c r="B1467" t="s">
        <v>6</v>
      </c>
      <c r="C1467" t="s">
        <v>7</v>
      </c>
      <c r="D1467" t="s">
        <v>27</v>
      </c>
      <c r="E1467" s="2">
        <v>43336.181145833332</v>
      </c>
      <c r="F1467" t="s">
        <v>585</v>
      </c>
      <c r="G1467" t="s">
        <v>318</v>
      </c>
      <c r="H1467" t="s">
        <v>456</v>
      </c>
      <c r="I1467" t="s">
        <v>494</v>
      </c>
      <c r="J1467" t="s">
        <v>501</v>
      </c>
    </row>
    <row r="1468" spans="1:10" hidden="1" x14ac:dyDescent="0.25">
      <c r="A1468" t="s">
        <v>261</v>
      </c>
      <c r="B1468" t="s">
        <v>6</v>
      </c>
      <c r="C1468" t="s">
        <v>7</v>
      </c>
      <c r="D1468" t="s">
        <v>10</v>
      </c>
      <c r="E1468" s="2">
        <v>43336.181215277778</v>
      </c>
      <c r="F1468" t="s">
        <v>302</v>
      </c>
      <c r="G1468" t="s">
        <v>455</v>
      </c>
      <c r="H1468" t="s">
        <v>433</v>
      </c>
      <c r="I1468" t="s">
        <v>528</v>
      </c>
      <c r="J1468" t="s">
        <v>529</v>
      </c>
    </row>
    <row r="1469" spans="1:10" hidden="1" x14ac:dyDescent="0.25">
      <c r="A1469" t="s">
        <v>353</v>
      </c>
      <c r="B1469" t="s">
        <v>6</v>
      </c>
      <c r="C1469" t="s">
        <v>7</v>
      </c>
      <c r="D1469" t="s">
        <v>10</v>
      </c>
      <c r="E1469" s="2">
        <v>43336.181284722225</v>
      </c>
      <c r="F1469" t="s">
        <v>587</v>
      </c>
      <c r="G1469" t="s">
        <v>458</v>
      </c>
      <c r="H1469" t="s">
        <v>444</v>
      </c>
      <c r="I1469" t="s">
        <v>588</v>
      </c>
      <c r="J1469" t="s">
        <v>491</v>
      </c>
    </row>
    <row r="1470" spans="1:10" hidden="1" x14ac:dyDescent="0.25">
      <c r="A1470" t="s">
        <v>103</v>
      </c>
      <c r="B1470" t="s">
        <v>6</v>
      </c>
      <c r="C1470" t="s">
        <v>7</v>
      </c>
      <c r="D1470" t="s">
        <v>476</v>
      </c>
      <c r="E1470" s="2">
        <v>43336.181435185186</v>
      </c>
      <c r="F1470" t="s">
        <v>299</v>
      </c>
      <c r="G1470" t="s">
        <v>318</v>
      </c>
      <c r="H1470" t="s">
        <v>428</v>
      </c>
      <c r="I1470" t="s">
        <v>492</v>
      </c>
      <c r="J1470" t="s">
        <v>546</v>
      </c>
    </row>
    <row r="1471" spans="1:10" hidden="1" x14ac:dyDescent="0.25">
      <c r="A1471" t="s">
        <v>46</v>
      </c>
      <c r="B1471" t="s">
        <v>6</v>
      </c>
      <c r="C1471" t="s">
        <v>7</v>
      </c>
      <c r="D1471" t="s">
        <v>476</v>
      </c>
      <c r="E1471" s="2">
        <v>43336.181620370371</v>
      </c>
      <c r="F1471" t="s">
        <v>590</v>
      </c>
      <c r="G1471" t="s">
        <v>429</v>
      </c>
      <c r="H1471" t="s">
        <v>451</v>
      </c>
      <c r="I1471" t="s">
        <v>497</v>
      </c>
      <c r="J1471" t="s">
        <v>497</v>
      </c>
    </row>
    <row r="1472" spans="1:10" hidden="1" x14ac:dyDescent="0.25">
      <c r="A1472" t="s">
        <v>256</v>
      </c>
      <c r="B1472" t="s">
        <v>6</v>
      </c>
      <c r="C1472" t="s">
        <v>7</v>
      </c>
      <c r="D1472" t="s">
        <v>10</v>
      </c>
      <c r="E1472" s="2">
        <v>43336.181620370371</v>
      </c>
      <c r="F1472" t="s">
        <v>300</v>
      </c>
      <c r="G1472" t="s">
        <v>462</v>
      </c>
      <c r="H1472" t="s">
        <v>445</v>
      </c>
      <c r="I1472" t="s">
        <v>494</v>
      </c>
      <c r="J1472" t="s">
        <v>583</v>
      </c>
    </row>
    <row r="1473" spans="1:10" hidden="1" x14ac:dyDescent="0.25">
      <c r="A1473" t="s">
        <v>365</v>
      </c>
      <c r="B1473" t="s">
        <v>6</v>
      </c>
      <c r="C1473" t="s">
        <v>7</v>
      </c>
      <c r="D1473" t="s">
        <v>13</v>
      </c>
      <c r="E1473" s="2">
        <v>43336.181712962964</v>
      </c>
      <c r="F1473" t="s">
        <v>591</v>
      </c>
      <c r="G1473" t="s">
        <v>318</v>
      </c>
      <c r="H1473" t="s">
        <v>454</v>
      </c>
      <c r="I1473" t="s">
        <v>548</v>
      </c>
      <c r="J1473" t="s">
        <v>550</v>
      </c>
    </row>
    <row r="1474" spans="1:10" hidden="1" x14ac:dyDescent="0.25">
      <c r="A1474" t="s">
        <v>411</v>
      </c>
      <c r="B1474" t="s">
        <v>6</v>
      </c>
      <c r="C1474" t="s">
        <v>7</v>
      </c>
      <c r="D1474" t="s">
        <v>27</v>
      </c>
      <c r="E1474" s="2">
        <v>43336.18173611111</v>
      </c>
      <c r="F1474" t="s">
        <v>586</v>
      </c>
      <c r="G1474" t="s">
        <v>318</v>
      </c>
      <c r="H1474" t="s">
        <v>435</v>
      </c>
      <c r="I1474" t="s">
        <v>490</v>
      </c>
      <c r="J1474" t="s">
        <v>491</v>
      </c>
    </row>
    <row r="1475" spans="1:10" hidden="1" x14ac:dyDescent="0.25">
      <c r="A1475" t="s">
        <v>170</v>
      </c>
      <c r="B1475" t="s">
        <v>6</v>
      </c>
      <c r="C1475" t="s">
        <v>7</v>
      </c>
      <c r="D1475" t="s">
        <v>10</v>
      </c>
      <c r="E1475" s="2">
        <v>43336.181747685187</v>
      </c>
      <c r="F1475" t="s">
        <v>585</v>
      </c>
      <c r="G1475" t="s">
        <v>318</v>
      </c>
      <c r="H1475" t="s">
        <v>426</v>
      </c>
      <c r="I1475" t="s">
        <v>494</v>
      </c>
      <c r="J1475" t="s">
        <v>501</v>
      </c>
    </row>
    <row r="1476" spans="1:10" hidden="1" x14ac:dyDescent="0.25">
      <c r="A1476" t="s">
        <v>187</v>
      </c>
      <c r="B1476" t="s">
        <v>6</v>
      </c>
      <c r="C1476" t="s">
        <v>7</v>
      </c>
      <c r="D1476" t="s">
        <v>10</v>
      </c>
      <c r="E1476" s="2">
        <v>43336.181863425925</v>
      </c>
      <c r="F1476" t="s">
        <v>302</v>
      </c>
      <c r="G1476" t="s">
        <v>455</v>
      </c>
      <c r="H1476" t="s">
        <v>434</v>
      </c>
      <c r="I1476" t="s">
        <v>528</v>
      </c>
      <c r="J1476" t="s">
        <v>529</v>
      </c>
    </row>
    <row r="1477" spans="1:10" hidden="1" x14ac:dyDescent="0.25">
      <c r="A1477" t="s">
        <v>177</v>
      </c>
      <c r="B1477" t="s">
        <v>6</v>
      </c>
      <c r="C1477" t="s">
        <v>7</v>
      </c>
      <c r="D1477" t="s">
        <v>27</v>
      </c>
      <c r="E1477" s="2">
        <v>43336.181863425925</v>
      </c>
      <c r="F1477" t="s">
        <v>303</v>
      </c>
      <c r="G1477" t="s">
        <v>429</v>
      </c>
      <c r="H1477" t="s">
        <v>441</v>
      </c>
      <c r="I1477" t="s">
        <v>494</v>
      </c>
      <c r="J1477" t="s">
        <v>501</v>
      </c>
    </row>
    <row r="1478" spans="1:10" hidden="1" x14ac:dyDescent="0.25">
      <c r="A1478" t="s">
        <v>354</v>
      </c>
      <c r="B1478" t="s">
        <v>6</v>
      </c>
      <c r="C1478" t="s">
        <v>7</v>
      </c>
      <c r="D1478" t="s">
        <v>10</v>
      </c>
      <c r="E1478" s="2">
        <v>43336.181886574072</v>
      </c>
      <c r="F1478" t="s">
        <v>587</v>
      </c>
      <c r="G1478" t="s">
        <v>458</v>
      </c>
      <c r="H1478" t="s">
        <v>445</v>
      </c>
      <c r="I1478" t="s">
        <v>539</v>
      </c>
      <c r="J1478" t="s">
        <v>491</v>
      </c>
    </row>
    <row r="1479" spans="1:10" hidden="1" x14ac:dyDescent="0.25">
      <c r="A1479" t="s">
        <v>222</v>
      </c>
      <c r="B1479" t="s">
        <v>6</v>
      </c>
      <c r="C1479" t="s">
        <v>7</v>
      </c>
      <c r="D1479" t="s">
        <v>484</v>
      </c>
      <c r="E1479" s="2">
        <v>43336.182013888887</v>
      </c>
      <c r="F1479" t="s">
        <v>298</v>
      </c>
      <c r="G1479" t="s">
        <v>318</v>
      </c>
      <c r="H1479" t="s">
        <v>428</v>
      </c>
      <c r="I1479" t="s">
        <v>13</v>
      </c>
      <c r="J1479" t="s">
        <v>532</v>
      </c>
    </row>
    <row r="1480" spans="1:10" hidden="1" x14ac:dyDescent="0.25">
      <c r="A1480" t="s">
        <v>82</v>
      </c>
      <c r="B1480" t="s">
        <v>6</v>
      </c>
      <c r="C1480" t="s">
        <v>7</v>
      </c>
      <c r="D1480" t="s">
        <v>10</v>
      </c>
      <c r="E1480" s="2">
        <v>43336.182083333333</v>
      </c>
      <c r="F1480" t="s">
        <v>299</v>
      </c>
      <c r="G1480" t="s">
        <v>318</v>
      </c>
      <c r="H1480" t="s">
        <v>429</v>
      </c>
      <c r="I1480" t="s">
        <v>492</v>
      </c>
      <c r="J1480" t="s">
        <v>546</v>
      </c>
    </row>
    <row r="1481" spans="1:10" hidden="1" x14ac:dyDescent="0.25">
      <c r="A1481" t="s">
        <v>257</v>
      </c>
      <c r="B1481" t="s">
        <v>6</v>
      </c>
      <c r="C1481" t="s">
        <v>7</v>
      </c>
      <c r="D1481" t="s">
        <v>10</v>
      </c>
      <c r="E1481" s="2">
        <v>43336.182233796295</v>
      </c>
      <c r="F1481" t="s">
        <v>300</v>
      </c>
      <c r="G1481" t="s">
        <v>462</v>
      </c>
      <c r="H1481" t="s">
        <v>446</v>
      </c>
      <c r="I1481" t="s">
        <v>584</v>
      </c>
      <c r="J1481" t="s">
        <v>584</v>
      </c>
    </row>
    <row r="1482" spans="1:10" hidden="1" x14ac:dyDescent="0.25">
      <c r="A1482" t="s">
        <v>293</v>
      </c>
      <c r="B1482" t="s">
        <v>6</v>
      </c>
      <c r="C1482" t="s">
        <v>7</v>
      </c>
      <c r="D1482" t="s">
        <v>10</v>
      </c>
      <c r="E1482" s="2">
        <v>43336.182372685187</v>
      </c>
      <c r="F1482" t="s">
        <v>585</v>
      </c>
      <c r="G1482" t="s">
        <v>318</v>
      </c>
      <c r="H1482" t="s">
        <v>427</v>
      </c>
      <c r="I1482" t="s">
        <v>494</v>
      </c>
      <c r="J1482" t="s">
        <v>501</v>
      </c>
    </row>
    <row r="1483" spans="1:10" hidden="1" x14ac:dyDescent="0.25">
      <c r="A1483" t="s">
        <v>208</v>
      </c>
      <c r="B1483" t="s">
        <v>6</v>
      </c>
      <c r="C1483" t="s">
        <v>7</v>
      </c>
      <c r="D1483" t="s">
        <v>27</v>
      </c>
      <c r="E1483" s="2">
        <v>43336.18241898148</v>
      </c>
      <c r="F1483" t="s">
        <v>590</v>
      </c>
      <c r="G1483" t="s">
        <v>429</v>
      </c>
      <c r="H1483" t="s">
        <v>452</v>
      </c>
      <c r="I1483" t="s">
        <v>497</v>
      </c>
      <c r="J1483" t="s">
        <v>497</v>
      </c>
    </row>
    <row r="1484" spans="1:10" hidden="1" x14ac:dyDescent="0.25">
      <c r="A1484" t="s">
        <v>396</v>
      </c>
      <c r="B1484" t="s">
        <v>6</v>
      </c>
      <c r="C1484" t="s">
        <v>7</v>
      </c>
      <c r="D1484" t="s">
        <v>13</v>
      </c>
      <c r="E1484" s="2">
        <v>43336.182453703703</v>
      </c>
      <c r="F1484" t="s">
        <v>591</v>
      </c>
      <c r="G1484" t="s">
        <v>318</v>
      </c>
      <c r="H1484" t="s">
        <v>455</v>
      </c>
      <c r="I1484" t="s">
        <v>548</v>
      </c>
      <c r="J1484" t="s">
        <v>551</v>
      </c>
    </row>
    <row r="1485" spans="1:10" hidden="1" x14ac:dyDescent="0.25">
      <c r="A1485" t="s">
        <v>273</v>
      </c>
      <c r="B1485" t="s">
        <v>6</v>
      </c>
      <c r="C1485" t="s">
        <v>7</v>
      </c>
      <c r="D1485" t="s">
        <v>10</v>
      </c>
      <c r="E1485" s="2">
        <v>43336.18246527778</v>
      </c>
      <c r="F1485" t="s">
        <v>302</v>
      </c>
      <c r="G1485" t="s">
        <v>455</v>
      </c>
      <c r="H1485" t="s">
        <v>435</v>
      </c>
      <c r="I1485" t="s">
        <v>528</v>
      </c>
      <c r="J1485" t="s">
        <v>529</v>
      </c>
    </row>
    <row r="1486" spans="1:10" hidden="1" x14ac:dyDescent="0.25">
      <c r="A1486" t="s">
        <v>412</v>
      </c>
      <c r="B1486" t="s">
        <v>6</v>
      </c>
      <c r="C1486" t="s">
        <v>7</v>
      </c>
      <c r="D1486" t="s">
        <v>27</v>
      </c>
      <c r="E1486" s="2">
        <v>43336.182476851849</v>
      </c>
      <c r="F1486" t="s">
        <v>586</v>
      </c>
      <c r="G1486" t="s">
        <v>318</v>
      </c>
      <c r="H1486" t="s">
        <v>436</v>
      </c>
      <c r="I1486" t="s">
        <v>490</v>
      </c>
      <c r="J1486" t="s">
        <v>491</v>
      </c>
    </row>
    <row r="1487" spans="1:10" hidden="1" x14ac:dyDescent="0.25">
      <c r="A1487" t="s">
        <v>287</v>
      </c>
      <c r="B1487" t="s">
        <v>6</v>
      </c>
      <c r="C1487" t="s">
        <v>7</v>
      </c>
      <c r="D1487" t="s">
        <v>476</v>
      </c>
      <c r="E1487" s="2">
        <v>43336.182523148149</v>
      </c>
      <c r="F1487" t="s">
        <v>303</v>
      </c>
      <c r="G1487" t="s">
        <v>429</v>
      </c>
      <c r="H1487" t="s">
        <v>442</v>
      </c>
      <c r="I1487" t="s">
        <v>494</v>
      </c>
      <c r="J1487" t="s">
        <v>501</v>
      </c>
    </row>
    <row r="1488" spans="1:10" hidden="1" x14ac:dyDescent="0.25">
      <c r="A1488" t="s">
        <v>355</v>
      </c>
      <c r="B1488" t="s">
        <v>6</v>
      </c>
      <c r="C1488" t="s">
        <v>7</v>
      </c>
      <c r="D1488" t="s">
        <v>10</v>
      </c>
      <c r="E1488" s="2">
        <v>43336.182557870372</v>
      </c>
      <c r="F1488" t="s">
        <v>587</v>
      </c>
      <c r="G1488" t="s">
        <v>458</v>
      </c>
      <c r="H1488" t="s">
        <v>446</v>
      </c>
      <c r="I1488" t="s">
        <v>538</v>
      </c>
      <c r="J1488" t="s">
        <v>491</v>
      </c>
    </row>
    <row r="1489" spans="1:10" hidden="1" x14ac:dyDescent="0.25">
      <c r="A1489" t="s">
        <v>230</v>
      </c>
      <c r="B1489" t="s">
        <v>6</v>
      </c>
      <c r="C1489" t="s">
        <v>7</v>
      </c>
      <c r="D1489" t="s">
        <v>10</v>
      </c>
      <c r="E1489" s="2">
        <v>43336.182650462964</v>
      </c>
      <c r="F1489" t="s">
        <v>298</v>
      </c>
      <c r="G1489" t="s">
        <v>318</v>
      </c>
      <c r="H1489" t="s">
        <v>429</v>
      </c>
      <c r="I1489" t="s">
        <v>509</v>
      </c>
      <c r="J1489" t="s">
        <v>510</v>
      </c>
    </row>
    <row r="1490" spans="1:10" hidden="1" x14ac:dyDescent="0.25">
      <c r="A1490" t="s">
        <v>81</v>
      </c>
      <c r="B1490" t="s">
        <v>6</v>
      </c>
      <c r="C1490" t="s">
        <v>7</v>
      </c>
      <c r="D1490" t="s">
        <v>10</v>
      </c>
      <c r="E1490" s="2">
        <v>43336.182800925926</v>
      </c>
      <c r="F1490" t="s">
        <v>299</v>
      </c>
      <c r="G1490" t="s">
        <v>318</v>
      </c>
      <c r="H1490" t="s">
        <v>430</v>
      </c>
      <c r="I1490" t="s">
        <v>533</v>
      </c>
      <c r="J1490" t="s">
        <v>543</v>
      </c>
    </row>
    <row r="1491" spans="1:10" hidden="1" x14ac:dyDescent="0.25">
      <c r="A1491" t="s">
        <v>44</v>
      </c>
      <c r="B1491" t="s">
        <v>6</v>
      </c>
      <c r="C1491" t="s">
        <v>7</v>
      </c>
      <c r="D1491" t="s">
        <v>10</v>
      </c>
      <c r="E1491" s="2">
        <v>43336.182974537034</v>
      </c>
      <c r="F1491" t="s">
        <v>585</v>
      </c>
      <c r="G1491" t="s">
        <v>318</v>
      </c>
      <c r="H1491" t="s">
        <v>428</v>
      </c>
      <c r="I1491" t="s">
        <v>494</v>
      </c>
      <c r="J1491" t="s">
        <v>501</v>
      </c>
    </row>
    <row r="1492" spans="1:10" hidden="1" x14ac:dyDescent="0.25">
      <c r="A1492" t="s">
        <v>263</v>
      </c>
      <c r="B1492" t="s">
        <v>6</v>
      </c>
      <c r="C1492" t="s">
        <v>7</v>
      </c>
      <c r="D1492" t="s">
        <v>27</v>
      </c>
      <c r="E1492" s="2">
        <v>43336.182986111111</v>
      </c>
      <c r="F1492" t="s">
        <v>300</v>
      </c>
      <c r="G1492" t="s">
        <v>462</v>
      </c>
      <c r="H1492" t="s">
        <v>447</v>
      </c>
      <c r="I1492" t="s">
        <v>584</v>
      </c>
      <c r="J1492" t="s">
        <v>584</v>
      </c>
    </row>
    <row r="1493" spans="1:10" hidden="1" x14ac:dyDescent="0.25">
      <c r="A1493" t="s">
        <v>30</v>
      </c>
      <c r="B1493" t="s">
        <v>6</v>
      </c>
      <c r="C1493" t="s">
        <v>7</v>
      </c>
      <c r="D1493" t="s">
        <v>10</v>
      </c>
      <c r="E1493" s="2">
        <v>43336.183032407411</v>
      </c>
      <c r="F1493" t="s">
        <v>590</v>
      </c>
      <c r="G1493" t="s">
        <v>429</v>
      </c>
      <c r="H1493" t="s">
        <v>318</v>
      </c>
      <c r="I1493" t="s">
        <v>494</v>
      </c>
      <c r="J1493" t="s">
        <v>495</v>
      </c>
    </row>
    <row r="1494" spans="1:10" hidden="1" x14ac:dyDescent="0.25">
      <c r="A1494" t="s">
        <v>192</v>
      </c>
      <c r="B1494" t="s">
        <v>6</v>
      </c>
      <c r="C1494" t="s">
        <v>7</v>
      </c>
      <c r="D1494" t="s">
        <v>476</v>
      </c>
      <c r="E1494" s="2">
        <v>43336.183067129627</v>
      </c>
      <c r="F1494" t="s">
        <v>302</v>
      </c>
      <c r="G1494" t="s">
        <v>455</v>
      </c>
      <c r="H1494" t="s">
        <v>436</v>
      </c>
      <c r="I1494" t="s">
        <v>525</v>
      </c>
      <c r="J1494" t="s">
        <v>526</v>
      </c>
    </row>
    <row r="1495" spans="1:10" hidden="1" x14ac:dyDescent="0.25">
      <c r="A1495" t="s">
        <v>340</v>
      </c>
      <c r="B1495" t="s">
        <v>6</v>
      </c>
      <c r="C1495" t="s">
        <v>7</v>
      </c>
      <c r="D1495" t="s">
        <v>476</v>
      </c>
      <c r="E1495" s="2">
        <v>43336.183067129627</v>
      </c>
      <c r="F1495" t="s">
        <v>591</v>
      </c>
      <c r="G1495" t="s">
        <v>318</v>
      </c>
      <c r="H1495" t="s">
        <v>456</v>
      </c>
      <c r="I1495" t="s">
        <v>548</v>
      </c>
      <c r="J1495" t="s">
        <v>552</v>
      </c>
    </row>
    <row r="1496" spans="1:10" hidden="1" x14ac:dyDescent="0.25">
      <c r="A1496" t="s">
        <v>413</v>
      </c>
      <c r="B1496" t="s">
        <v>6</v>
      </c>
      <c r="C1496" t="s">
        <v>7</v>
      </c>
      <c r="D1496" t="s">
        <v>10</v>
      </c>
      <c r="E1496" s="2">
        <v>43336.18310185185</v>
      </c>
      <c r="F1496" t="s">
        <v>586</v>
      </c>
      <c r="G1496" t="s">
        <v>318</v>
      </c>
      <c r="H1496" t="s">
        <v>437</v>
      </c>
      <c r="I1496" t="s">
        <v>490</v>
      </c>
      <c r="J1496" t="s">
        <v>491</v>
      </c>
    </row>
    <row r="1497" spans="1:10" hidden="1" x14ac:dyDescent="0.25">
      <c r="A1497" t="s">
        <v>185</v>
      </c>
      <c r="B1497" t="s">
        <v>6</v>
      </c>
      <c r="C1497" t="s">
        <v>7</v>
      </c>
      <c r="D1497" t="s">
        <v>10</v>
      </c>
      <c r="E1497" s="2">
        <v>43336.183136574073</v>
      </c>
      <c r="F1497" t="s">
        <v>303</v>
      </c>
      <c r="G1497" t="s">
        <v>429</v>
      </c>
      <c r="H1497" t="s">
        <v>443</v>
      </c>
      <c r="I1497" t="s">
        <v>494</v>
      </c>
      <c r="J1497" t="s">
        <v>501</v>
      </c>
    </row>
    <row r="1498" spans="1:10" hidden="1" x14ac:dyDescent="0.25">
      <c r="A1498" t="s">
        <v>357</v>
      </c>
      <c r="B1498" t="s">
        <v>6</v>
      </c>
      <c r="C1498" t="s">
        <v>7</v>
      </c>
      <c r="D1498" t="s">
        <v>10</v>
      </c>
      <c r="E1498" s="2">
        <v>43336.183182870373</v>
      </c>
      <c r="F1498" t="s">
        <v>587</v>
      </c>
      <c r="G1498" t="s">
        <v>458</v>
      </c>
      <c r="H1498" t="s">
        <v>447</v>
      </c>
      <c r="I1498" t="s">
        <v>536</v>
      </c>
      <c r="J1498" t="s">
        <v>491</v>
      </c>
    </row>
    <row r="1499" spans="1:10" hidden="1" x14ac:dyDescent="0.25">
      <c r="A1499" t="s">
        <v>226</v>
      </c>
      <c r="B1499" t="s">
        <v>6</v>
      </c>
      <c r="C1499" t="s">
        <v>7</v>
      </c>
      <c r="D1499" t="s">
        <v>10</v>
      </c>
      <c r="E1499" s="2">
        <v>43336.183263888888</v>
      </c>
      <c r="F1499" t="s">
        <v>298</v>
      </c>
      <c r="G1499" t="s">
        <v>318</v>
      </c>
      <c r="H1499" t="s">
        <v>430</v>
      </c>
      <c r="I1499" t="s">
        <v>509</v>
      </c>
      <c r="J1499" t="s">
        <v>510</v>
      </c>
    </row>
    <row r="1500" spans="1:10" hidden="1" x14ac:dyDescent="0.25">
      <c r="A1500" t="s">
        <v>153</v>
      </c>
      <c r="B1500" t="s">
        <v>6</v>
      </c>
      <c r="C1500" t="s">
        <v>7</v>
      </c>
      <c r="D1500" t="s">
        <v>10</v>
      </c>
      <c r="E1500" s="2">
        <v>43336.18346064815</v>
      </c>
      <c r="F1500" t="s">
        <v>299</v>
      </c>
      <c r="G1500" t="s">
        <v>318</v>
      </c>
      <c r="H1500" t="s">
        <v>431</v>
      </c>
      <c r="I1500" t="s">
        <v>533</v>
      </c>
      <c r="J1500" t="s">
        <v>543</v>
      </c>
    </row>
    <row r="1501" spans="1:10" hidden="1" x14ac:dyDescent="0.25">
      <c r="A1501" t="s">
        <v>133</v>
      </c>
      <c r="B1501" t="s">
        <v>6</v>
      </c>
      <c r="C1501" t="s">
        <v>7</v>
      </c>
      <c r="D1501" t="s">
        <v>476</v>
      </c>
      <c r="E1501" s="2">
        <v>43336.183576388888</v>
      </c>
      <c r="F1501" t="s">
        <v>585</v>
      </c>
      <c r="G1501" t="s">
        <v>318</v>
      </c>
      <c r="H1501" t="s">
        <v>429</v>
      </c>
      <c r="I1501" t="s">
        <v>494</v>
      </c>
      <c r="J1501" t="s">
        <v>501</v>
      </c>
    </row>
    <row r="1502" spans="1:10" hidden="1" x14ac:dyDescent="0.25">
      <c r="A1502" t="s">
        <v>183</v>
      </c>
      <c r="B1502" t="s">
        <v>6</v>
      </c>
      <c r="C1502" t="s">
        <v>7</v>
      </c>
      <c r="D1502" t="s">
        <v>476</v>
      </c>
      <c r="E1502" s="2">
        <v>43336.183657407404</v>
      </c>
      <c r="F1502" t="s">
        <v>302</v>
      </c>
      <c r="G1502" t="s">
        <v>455</v>
      </c>
      <c r="H1502" t="s">
        <v>437</v>
      </c>
      <c r="I1502" t="s">
        <v>511</v>
      </c>
      <c r="J1502" t="s">
        <v>522</v>
      </c>
    </row>
    <row r="1503" spans="1:10" hidden="1" x14ac:dyDescent="0.25">
      <c r="A1503" t="s">
        <v>29</v>
      </c>
      <c r="B1503" t="s">
        <v>6</v>
      </c>
      <c r="C1503" t="s">
        <v>7</v>
      </c>
      <c r="D1503" t="s">
        <v>476</v>
      </c>
      <c r="E1503" s="2">
        <v>43336.183657407404</v>
      </c>
      <c r="F1503" t="s">
        <v>590</v>
      </c>
      <c r="G1503" t="s">
        <v>429</v>
      </c>
      <c r="H1503" t="s">
        <v>323</v>
      </c>
      <c r="I1503" t="s">
        <v>494</v>
      </c>
      <c r="J1503" t="s">
        <v>497</v>
      </c>
    </row>
    <row r="1504" spans="1:10" hidden="1" x14ac:dyDescent="0.25">
      <c r="A1504" t="s">
        <v>409</v>
      </c>
      <c r="B1504" t="s">
        <v>6</v>
      </c>
      <c r="C1504" t="s">
        <v>7</v>
      </c>
      <c r="D1504" t="s">
        <v>10</v>
      </c>
      <c r="E1504" s="2">
        <v>43336.183715277781</v>
      </c>
      <c r="F1504" t="s">
        <v>586</v>
      </c>
      <c r="G1504" t="s">
        <v>318</v>
      </c>
      <c r="H1504" t="s">
        <v>438</v>
      </c>
      <c r="I1504" t="s">
        <v>490</v>
      </c>
      <c r="J1504" t="s">
        <v>491</v>
      </c>
    </row>
    <row r="1505" spans="1:10" hidden="1" x14ac:dyDescent="0.25">
      <c r="A1505" t="s">
        <v>264</v>
      </c>
      <c r="B1505" t="s">
        <v>6</v>
      </c>
      <c r="C1505" t="s">
        <v>7</v>
      </c>
      <c r="D1505" t="s">
        <v>27</v>
      </c>
      <c r="E1505" s="2">
        <v>43336.18372685185</v>
      </c>
      <c r="F1505" t="s">
        <v>300</v>
      </c>
      <c r="G1505" t="s">
        <v>462</v>
      </c>
      <c r="H1505" t="s">
        <v>448</v>
      </c>
      <c r="I1505" t="s">
        <v>584</v>
      </c>
      <c r="J1505" t="s">
        <v>584</v>
      </c>
    </row>
    <row r="1506" spans="1:10" hidden="1" x14ac:dyDescent="0.25">
      <c r="A1506" t="s">
        <v>175</v>
      </c>
      <c r="B1506" t="s">
        <v>6</v>
      </c>
      <c r="C1506" t="s">
        <v>7</v>
      </c>
      <c r="D1506" t="s">
        <v>10</v>
      </c>
      <c r="E1506" s="2">
        <v>43336.18377314815</v>
      </c>
      <c r="F1506" t="s">
        <v>303</v>
      </c>
      <c r="G1506" t="s">
        <v>429</v>
      </c>
      <c r="H1506" t="s">
        <v>444</v>
      </c>
      <c r="I1506" t="s">
        <v>494</v>
      </c>
      <c r="J1506" t="s">
        <v>501</v>
      </c>
    </row>
    <row r="1507" spans="1:10" hidden="1" x14ac:dyDescent="0.25">
      <c r="A1507" t="s">
        <v>358</v>
      </c>
      <c r="B1507" t="s">
        <v>6</v>
      </c>
      <c r="C1507" t="s">
        <v>7</v>
      </c>
      <c r="D1507" t="s">
        <v>10</v>
      </c>
      <c r="E1507" s="2">
        <v>43336.183796296296</v>
      </c>
      <c r="F1507" t="s">
        <v>587</v>
      </c>
      <c r="G1507" t="s">
        <v>458</v>
      </c>
      <c r="H1507" t="s">
        <v>448</v>
      </c>
      <c r="I1507" t="s">
        <v>534</v>
      </c>
      <c r="J1507" t="s">
        <v>520</v>
      </c>
    </row>
    <row r="1508" spans="1:10" hidden="1" x14ac:dyDescent="0.25">
      <c r="A1508" t="s">
        <v>301</v>
      </c>
      <c r="B1508" t="s">
        <v>6</v>
      </c>
      <c r="C1508" t="s">
        <v>7</v>
      </c>
      <c r="D1508" t="s">
        <v>27</v>
      </c>
      <c r="E1508" s="2">
        <v>43336.183819444443</v>
      </c>
      <c r="F1508" t="s">
        <v>591</v>
      </c>
      <c r="G1508" t="s">
        <v>318</v>
      </c>
      <c r="H1508" t="s">
        <v>426</v>
      </c>
      <c r="I1508" t="s">
        <v>513</v>
      </c>
      <c r="J1508" t="s">
        <v>555</v>
      </c>
    </row>
    <row r="1509" spans="1:10" hidden="1" x14ac:dyDescent="0.25">
      <c r="A1509" t="s">
        <v>161</v>
      </c>
      <c r="B1509" t="s">
        <v>6</v>
      </c>
      <c r="C1509" t="s">
        <v>7</v>
      </c>
      <c r="D1509" t="s">
        <v>10</v>
      </c>
      <c r="E1509" s="2">
        <v>43336.183877314812</v>
      </c>
      <c r="F1509" t="s">
        <v>298</v>
      </c>
      <c r="G1509" t="s">
        <v>318</v>
      </c>
      <c r="H1509" t="s">
        <v>431</v>
      </c>
      <c r="I1509" t="s">
        <v>492</v>
      </c>
      <c r="J1509" t="s">
        <v>493</v>
      </c>
    </row>
    <row r="1510" spans="1:10" hidden="1" x14ac:dyDescent="0.25">
      <c r="A1510" t="s">
        <v>99</v>
      </c>
      <c r="B1510" t="s">
        <v>6</v>
      </c>
      <c r="C1510" t="s">
        <v>7</v>
      </c>
      <c r="D1510" t="s">
        <v>10</v>
      </c>
      <c r="E1510" s="2">
        <v>43336.184120370373</v>
      </c>
      <c r="F1510" t="s">
        <v>299</v>
      </c>
      <c r="G1510" t="s">
        <v>318</v>
      </c>
      <c r="H1510" t="s">
        <v>432</v>
      </c>
      <c r="I1510" t="s">
        <v>533</v>
      </c>
      <c r="J1510" t="s">
        <v>543</v>
      </c>
    </row>
    <row r="1511" spans="1:10" hidden="1" x14ac:dyDescent="0.25">
      <c r="A1511" t="s">
        <v>124</v>
      </c>
      <c r="B1511" t="s">
        <v>6</v>
      </c>
      <c r="C1511" t="s">
        <v>7</v>
      </c>
      <c r="D1511" t="s">
        <v>10</v>
      </c>
      <c r="E1511" s="2">
        <v>43336.184201388889</v>
      </c>
      <c r="F1511" t="s">
        <v>585</v>
      </c>
      <c r="G1511" t="s">
        <v>318</v>
      </c>
      <c r="H1511" t="s">
        <v>430</v>
      </c>
      <c r="I1511" t="s">
        <v>494</v>
      </c>
      <c r="J1511" t="s">
        <v>501</v>
      </c>
    </row>
    <row r="1512" spans="1:10" hidden="1" x14ac:dyDescent="0.25">
      <c r="A1512" t="s">
        <v>274</v>
      </c>
      <c r="B1512" t="s">
        <v>6</v>
      </c>
      <c r="C1512" t="s">
        <v>7</v>
      </c>
      <c r="D1512" t="s">
        <v>476</v>
      </c>
      <c r="E1512" s="2">
        <v>43336.184259259258</v>
      </c>
      <c r="F1512" t="s">
        <v>302</v>
      </c>
      <c r="G1512" t="s">
        <v>455</v>
      </c>
      <c r="H1512" t="s">
        <v>438</v>
      </c>
      <c r="I1512" t="s">
        <v>511</v>
      </c>
      <c r="J1512" t="s">
        <v>518</v>
      </c>
    </row>
    <row r="1513" spans="1:10" hidden="1" x14ac:dyDescent="0.25">
      <c r="A1513" t="s">
        <v>28</v>
      </c>
      <c r="B1513" t="s">
        <v>6</v>
      </c>
      <c r="C1513" t="s">
        <v>7</v>
      </c>
      <c r="D1513" t="s">
        <v>476</v>
      </c>
      <c r="E1513" s="2">
        <v>43336.184270833335</v>
      </c>
      <c r="F1513" t="s">
        <v>590</v>
      </c>
      <c r="G1513" t="s">
        <v>429</v>
      </c>
      <c r="H1513" t="s">
        <v>385</v>
      </c>
      <c r="I1513" t="s">
        <v>494</v>
      </c>
      <c r="J1513" t="s">
        <v>497</v>
      </c>
    </row>
    <row r="1514" spans="1:10" hidden="1" x14ac:dyDescent="0.25">
      <c r="A1514" t="s">
        <v>363</v>
      </c>
      <c r="B1514" t="s">
        <v>6</v>
      </c>
      <c r="C1514" t="s">
        <v>7</v>
      </c>
      <c r="D1514" t="s">
        <v>10</v>
      </c>
      <c r="E1514" s="2">
        <v>43336.184317129628</v>
      </c>
      <c r="F1514" t="s">
        <v>586</v>
      </c>
      <c r="G1514" t="s">
        <v>318</v>
      </c>
      <c r="H1514" t="s">
        <v>439</v>
      </c>
      <c r="I1514" t="s">
        <v>490</v>
      </c>
      <c r="J1514" t="s">
        <v>491</v>
      </c>
    </row>
    <row r="1515" spans="1:10" hidden="1" x14ac:dyDescent="0.25">
      <c r="A1515" t="s">
        <v>265</v>
      </c>
      <c r="B1515" t="s">
        <v>6</v>
      </c>
      <c r="C1515" t="s">
        <v>7</v>
      </c>
      <c r="D1515" t="s">
        <v>10</v>
      </c>
      <c r="E1515" s="2">
        <v>43336.184374999997</v>
      </c>
      <c r="F1515" t="s">
        <v>300</v>
      </c>
      <c r="G1515" t="s">
        <v>462</v>
      </c>
      <c r="H1515" t="s">
        <v>449</v>
      </c>
      <c r="I1515" t="s">
        <v>584</v>
      </c>
      <c r="J1515" t="s">
        <v>584</v>
      </c>
    </row>
    <row r="1516" spans="1:10" hidden="1" x14ac:dyDescent="0.25">
      <c r="A1516" t="s">
        <v>288</v>
      </c>
      <c r="B1516" t="s">
        <v>6</v>
      </c>
      <c r="C1516" t="s">
        <v>7</v>
      </c>
      <c r="D1516" t="s">
        <v>10</v>
      </c>
      <c r="E1516" s="2">
        <v>43336.18440972222</v>
      </c>
      <c r="F1516" t="s">
        <v>303</v>
      </c>
      <c r="G1516" t="s">
        <v>429</v>
      </c>
      <c r="H1516" t="s">
        <v>445</v>
      </c>
      <c r="I1516" t="s">
        <v>494</v>
      </c>
      <c r="J1516" t="s">
        <v>501</v>
      </c>
    </row>
    <row r="1517" spans="1:10" hidden="1" x14ac:dyDescent="0.25">
      <c r="A1517" t="s">
        <v>378</v>
      </c>
      <c r="B1517" t="s">
        <v>6</v>
      </c>
      <c r="C1517" t="s">
        <v>7</v>
      </c>
      <c r="D1517" t="s">
        <v>10</v>
      </c>
      <c r="E1517" s="2">
        <v>43336.18445601852</v>
      </c>
      <c r="F1517" t="s">
        <v>591</v>
      </c>
      <c r="G1517" t="s">
        <v>318</v>
      </c>
      <c r="H1517" t="s">
        <v>427</v>
      </c>
      <c r="I1517" t="s">
        <v>554</v>
      </c>
      <c r="J1517" t="s">
        <v>556</v>
      </c>
    </row>
    <row r="1518" spans="1:10" hidden="1" x14ac:dyDescent="0.25">
      <c r="A1518" t="s">
        <v>228</v>
      </c>
      <c r="B1518" t="s">
        <v>6</v>
      </c>
      <c r="C1518" t="s">
        <v>7</v>
      </c>
      <c r="D1518" t="s">
        <v>10</v>
      </c>
      <c r="E1518" s="2">
        <v>43336.184479166666</v>
      </c>
      <c r="F1518" t="s">
        <v>298</v>
      </c>
      <c r="G1518" t="s">
        <v>318</v>
      </c>
      <c r="H1518" t="s">
        <v>432</v>
      </c>
      <c r="I1518" t="s">
        <v>509</v>
      </c>
      <c r="J1518" t="s">
        <v>523</v>
      </c>
    </row>
    <row r="1519" spans="1:10" hidden="1" x14ac:dyDescent="0.25">
      <c r="A1519" t="s">
        <v>382</v>
      </c>
      <c r="B1519" t="s">
        <v>6</v>
      </c>
      <c r="C1519" t="s">
        <v>7</v>
      </c>
      <c r="D1519" t="s">
        <v>27</v>
      </c>
      <c r="E1519" s="2">
        <v>43336.184537037036</v>
      </c>
      <c r="F1519" t="s">
        <v>587</v>
      </c>
      <c r="G1519" t="s">
        <v>458</v>
      </c>
      <c r="H1519" t="s">
        <v>449</v>
      </c>
      <c r="I1519" t="s">
        <v>531</v>
      </c>
      <c r="J1519" t="s">
        <v>520</v>
      </c>
    </row>
    <row r="1520" spans="1:10" hidden="1" x14ac:dyDescent="0.25">
      <c r="A1520" t="s">
        <v>155</v>
      </c>
      <c r="B1520" t="s">
        <v>6</v>
      </c>
      <c r="C1520" t="s">
        <v>7</v>
      </c>
      <c r="D1520" t="s">
        <v>476</v>
      </c>
      <c r="E1520" s="2">
        <v>43336.18478009259</v>
      </c>
      <c r="F1520" t="s">
        <v>299</v>
      </c>
      <c r="G1520" t="s">
        <v>318</v>
      </c>
      <c r="H1520" t="s">
        <v>433</v>
      </c>
      <c r="I1520" t="s">
        <v>553</v>
      </c>
      <c r="J1520" t="s">
        <v>497</v>
      </c>
    </row>
    <row r="1521" spans="1:10" hidden="1" x14ac:dyDescent="0.25">
      <c r="A1521" t="s">
        <v>43</v>
      </c>
      <c r="B1521" t="s">
        <v>6</v>
      </c>
      <c r="C1521" t="s">
        <v>7</v>
      </c>
      <c r="D1521" t="s">
        <v>10</v>
      </c>
      <c r="E1521" s="2">
        <v>43336.18482638889</v>
      </c>
      <c r="F1521" t="s">
        <v>585</v>
      </c>
      <c r="G1521" t="s">
        <v>318</v>
      </c>
      <c r="H1521" t="s">
        <v>431</v>
      </c>
      <c r="I1521" t="s">
        <v>494</v>
      </c>
      <c r="J1521" t="s">
        <v>501</v>
      </c>
    </row>
    <row r="1522" spans="1:10" hidden="1" x14ac:dyDescent="0.25">
      <c r="A1522" t="s">
        <v>145</v>
      </c>
      <c r="B1522" t="s">
        <v>6</v>
      </c>
      <c r="C1522" t="s">
        <v>7</v>
      </c>
      <c r="D1522" t="s">
        <v>476</v>
      </c>
      <c r="E1522" s="2">
        <v>43336.184837962966</v>
      </c>
      <c r="F1522" t="s">
        <v>302</v>
      </c>
      <c r="G1522" t="s">
        <v>455</v>
      </c>
      <c r="H1522" t="s">
        <v>439</v>
      </c>
      <c r="I1522" t="s">
        <v>511</v>
      </c>
      <c r="J1522" t="s">
        <v>517</v>
      </c>
    </row>
    <row r="1523" spans="1:10" hidden="1" x14ac:dyDescent="0.25">
      <c r="A1523" t="s">
        <v>25</v>
      </c>
      <c r="B1523" t="s">
        <v>6</v>
      </c>
      <c r="C1523" t="s">
        <v>7</v>
      </c>
      <c r="D1523" t="s">
        <v>476</v>
      </c>
      <c r="E1523" s="2">
        <v>43336.184895833336</v>
      </c>
      <c r="F1523" t="s">
        <v>590</v>
      </c>
      <c r="G1523" t="s">
        <v>429</v>
      </c>
      <c r="H1523" t="s">
        <v>457</v>
      </c>
      <c r="I1523" t="s">
        <v>494</v>
      </c>
      <c r="J1523" t="s">
        <v>497</v>
      </c>
    </row>
    <row r="1524" spans="1:10" hidden="1" x14ac:dyDescent="0.25">
      <c r="A1524" t="s">
        <v>400</v>
      </c>
      <c r="B1524" t="s">
        <v>6</v>
      </c>
      <c r="C1524" t="s">
        <v>7</v>
      </c>
      <c r="D1524" t="s">
        <v>27</v>
      </c>
      <c r="E1524" s="2">
        <v>43336.185046296298</v>
      </c>
      <c r="F1524" t="s">
        <v>586</v>
      </c>
      <c r="G1524" t="s">
        <v>318</v>
      </c>
      <c r="H1524" t="s">
        <v>440</v>
      </c>
      <c r="I1524" t="s">
        <v>490</v>
      </c>
      <c r="J1524" t="s">
        <v>491</v>
      </c>
    </row>
    <row r="1525" spans="1:10" hidden="1" x14ac:dyDescent="0.25">
      <c r="A1525" t="s">
        <v>324</v>
      </c>
      <c r="B1525" t="s">
        <v>6</v>
      </c>
      <c r="C1525" t="s">
        <v>7</v>
      </c>
      <c r="D1525" t="s">
        <v>10</v>
      </c>
      <c r="E1525" s="2">
        <v>43336.185069444444</v>
      </c>
      <c r="F1525" t="s">
        <v>591</v>
      </c>
      <c r="G1525" t="s">
        <v>318</v>
      </c>
      <c r="H1525" t="s">
        <v>428</v>
      </c>
      <c r="I1525" t="s">
        <v>554</v>
      </c>
      <c r="J1525" t="s">
        <v>556</v>
      </c>
    </row>
    <row r="1526" spans="1:10" hidden="1" x14ac:dyDescent="0.25">
      <c r="A1526" t="s">
        <v>266</v>
      </c>
      <c r="B1526" t="s">
        <v>6</v>
      </c>
      <c r="C1526" t="s">
        <v>7</v>
      </c>
      <c r="D1526" t="s">
        <v>10</v>
      </c>
      <c r="E1526" s="2">
        <v>43336.185069444444</v>
      </c>
      <c r="F1526" t="s">
        <v>300</v>
      </c>
      <c r="G1526" t="s">
        <v>462</v>
      </c>
      <c r="H1526" t="s">
        <v>450</v>
      </c>
      <c r="I1526" t="s">
        <v>584</v>
      </c>
      <c r="J1526" t="s">
        <v>584</v>
      </c>
    </row>
    <row r="1527" spans="1:10" hidden="1" x14ac:dyDescent="0.25">
      <c r="A1527" t="s">
        <v>139</v>
      </c>
      <c r="B1527" t="s">
        <v>6</v>
      </c>
      <c r="C1527" t="s">
        <v>7</v>
      </c>
      <c r="D1527" t="s">
        <v>10</v>
      </c>
      <c r="E1527" s="2">
        <v>43336.185081018521</v>
      </c>
      <c r="F1527" t="s">
        <v>303</v>
      </c>
      <c r="G1527" t="s">
        <v>429</v>
      </c>
      <c r="H1527" t="s">
        <v>446</v>
      </c>
      <c r="I1527" t="s">
        <v>494</v>
      </c>
      <c r="J1527" t="s">
        <v>501</v>
      </c>
    </row>
    <row r="1528" spans="1:10" hidden="1" x14ac:dyDescent="0.25">
      <c r="A1528" t="s">
        <v>87</v>
      </c>
      <c r="B1528" t="s">
        <v>6</v>
      </c>
      <c r="C1528" t="s">
        <v>7</v>
      </c>
      <c r="D1528" t="s">
        <v>10</v>
      </c>
      <c r="E1528" s="2">
        <v>43336.185115740744</v>
      </c>
      <c r="F1528" t="s">
        <v>298</v>
      </c>
      <c r="G1528" t="s">
        <v>318</v>
      </c>
      <c r="H1528" t="s">
        <v>433</v>
      </c>
      <c r="I1528" t="s">
        <v>492</v>
      </c>
      <c r="J1528" t="s">
        <v>521</v>
      </c>
    </row>
    <row r="1529" spans="1:10" hidden="1" x14ac:dyDescent="0.25">
      <c r="A1529" t="s">
        <v>481</v>
      </c>
      <c r="B1529" t="s">
        <v>6</v>
      </c>
      <c r="C1529" t="s">
        <v>7</v>
      </c>
      <c r="D1529" t="s">
        <v>27</v>
      </c>
      <c r="E1529" s="2">
        <v>43336.185277777775</v>
      </c>
      <c r="F1529" t="s">
        <v>587</v>
      </c>
      <c r="G1529" t="s">
        <v>458</v>
      </c>
      <c r="H1529" t="s">
        <v>450</v>
      </c>
      <c r="I1529" t="s">
        <v>530</v>
      </c>
      <c r="J1529" t="s">
        <v>520</v>
      </c>
    </row>
    <row r="1530" spans="1:10" hidden="1" x14ac:dyDescent="0.25">
      <c r="A1530" t="s">
        <v>142</v>
      </c>
      <c r="B1530" t="s">
        <v>6</v>
      </c>
      <c r="C1530" t="s">
        <v>7</v>
      </c>
      <c r="D1530" t="s">
        <v>476</v>
      </c>
      <c r="E1530" s="2">
        <v>43336.185428240744</v>
      </c>
      <c r="F1530" t="s">
        <v>302</v>
      </c>
      <c r="G1530" t="s">
        <v>455</v>
      </c>
      <c r="H1530" t="s">
        <v>440</v>
      </c>
      <c r="I1530" t="s">
        <v>511</v>
      </c>
      <c r="J1530" t="s">
        <v>515</v>
      </c>
    </row>
    <row r="1531" spans="1:10" hidden="1" x14ac:dyDescent="0.25">
      <c r="A1531" t="s">
        <v>42</v>
      </c>
      <c r="B1531" t="s">
        <v>6</v>
      </c>
      <c r="C1531" t="s">
        <v>7</v>
      </c>
      <c r="D1531" t="s">
        <v>10</v>
      </c>
      <c r="E1531" s="2">
        <v>43336.18545138889</v>
      </c>
      <c r="F1531" t="s">
        <v>585</v>
      </c>
      <c r="G1531" t="s">
        <v>318</v>
      </c>
      <c r="H1531" t="s">
        <v>432</v>
      </c>
      <c r="I1531" t="s">
        <v>494</v>
      </c>
      <c r="J1531" t="s">
        <v>501</v>
      </c>
    </row>
    <row r="1532" spans="1:10" hidden="1" x14ac:dyDescent="0.25">
      <c r="A1532" t="s">
        <v>24</v>
      </c>
      <c r="B1532" t="s">
        <v>6</v>
      </c>
      <c r="C1532" t="s">
        <v>7</v>
      </c>
      <c r="D1532" t="s">
        <v>476</v>
      </c>
      <c r="E1532" s="2">
        <v>43336.185520833336</v>
      </c>
      <c r="F1532" t="s">
        <v>590</v>
      </c>
      <c r="G1532" t="s">
        <v>429</v>
      </c>
      <c r="H1532" t="s">
        <v>458</v>
      </c>
      <c r="I1532" t="s">
        <v>494</v>
      </c>
      <c r="J1532" t="s">
        <v>497</v>
      </c>
    </row>
    <row r="1533" spans="1:10" hidden="1" x14ac:dyDescent="0.25">
      <c r="A1533" t="s">
        <v>120</v>
      </c>
      <c r="B1533" t="s">
        <v>6</v>
      </c>
      <c r="C1533" t="s">
        <v>219</v>
      </c>
      <c r="D1533" t="s">
        <v>27</v>
      </c>
      <c r="E1533" s="2">
        <v>43336.185567129629</v>
      </c>
      <c r="F1533" t="s">
        <v>299</v>
      </c>
      <c r="G1533" t="s">
        <v>318</v>
      </c>
      <c r="H1533" t="s">
        <v>434</v>
      </c>
      <c r="I1533" t="s">
        <v>553</v>
      </c>
      <c r="J1533" t="s">
        <v>497</v>
      </c>
    </row>
    <row r="1534" spans="1:10" hidden="1" x14ac:dyDescent="0.25">
      <c r="A1534" t="s">
        <v>325</v>
      </c>
      <c r="B1534" t="s">
        <v>6</v>
      </c>
      <c r="C1534" t="s">
        <v>7</v>
      </c>
      <c r="D1534" t="s">
        <v>10</v>
      </c>
      <c r="E1534" s="2">
        <v>43336.185682870368</v>
      </c>
      <c r="F1534" t="s">
        <v>591</v>
      </c>
      <c r="G1534" t="s">
        <v>318</v>
      </c>
      <c r="H1534" t="s">
        <v>429</v>
      </c>
      <c r="I1534" t="s">
        <v>554</v>
      </c>
      <c r="J1534" t="s">
        <v>556</v>
      </c>
    </row>
    <row r="1535" spans="1:10" hidden="1" x14ac:dyDescent="0.25">
      <c r="A1535" t="s">
        <v>242</v>
      </c>
      <c r="B1535" t="s">
        <v>6</v>
      </c>
      <c r="C1535" t="s">
        <v>7</v>
      </c>
      <c r="D1535" t="s">
        <v>10</v>
      </c>
      <c r="E1535" s="2">
        <v>43336.185694444444</v>
      </c>
      <c r="F1535" t="s">
        <v>300</v>
      </c>
      <c r="G1535" t="s">
        <v>462</v>
      </c>
      <c r="H1535" t="s">
        <v>451</v>
      </c>
      <c r="I1535" t="s">
        <v>498</v>
      </c>
      <c r="J1535" t="s">
        <v>498</v>
      </c>
    </row>
    <row r="1536" spans="1:10" hidden="1" x14ac:dyDescent="0.25">
      <c r="A1536" t="s">
        <v>289</v>
      </c>
      <c r="B1536" t="s">
        <v>6</v>
      </c>
      <c r="C1536" t="s">
        <v>7</v>
      </c>
      <c r="D1536" t="s">
        <v>10</v>
      </c>
      <c r="E1536" s="2">
        <v>43336.185717592591</v>
      </c>
      <c r="F1536" t="s">
        <v>303</v>
      </c>
      <c r="G1536" t="s">
        <v>429</v>
      </c>
      <c r="H1536" t="s">
        <v>447</v>
      </c>
      <c r="I1536" t="s">
        <v>494</v>
      </c>
      <c r="J1536" t="s">
        <v>501</v>
      </c>
    </row>
    <row r="1537" spans="1:10" hidden="1" x14ac:dyDescent="0.25">
      <c r="A1537" t="s">
        <v>376</v>
      </c>
      <c r="B1537" t="s">
        <v>6</v>
      </c>
      <c r="C1537" t="s">
        <v>7</v>
      </c>
      <c r="D1537" t="s">
        <v>27</v>
      </c>
      <c r="E1537" s="2">
        <v>43336.18577546296</v>
      </c>
      <c r="F1537" t="s">
        <v>586</v>
      </c>
      <c r="G1537" t="s">
        <v>318</v>
      </c>
      <c r="H1537" t="s">
        <v>441</v>
      </c>
      <c r="I1537" t="s">
        <v>490</v>
      </c>
      <c r="J1537" t="s">
        <v>491</v>
      </c>
    </row>
    <row r="1538" spans="1:10" hidden="1" x14ac:dyDescent="0.25">
      <c r="A1538" t="s">
        <v>480</v>
      </c>
      <c r="B1538" t="s">
        <v>6</v>
      </c>
      <c r="C1538" t="s">
        <v>7</v>
      </c>
      <c r="D1538" t="s">
        <v>10</v>
      </c>
      <c r="E1538" s="2">
        <v>43336.185902777775</v>
      </c>
      <c r="F1538" t="s">
        <v>587</v>
      </c>
      <c r="G1538" t="s">
        <v>458</v>
      </c>
      <c r="H1538" t="s">
        <v>451</v>
      </c>
      <c r="I1538" t="s">
        <v>527</v>
      </c>
      <c r="J1538" t="s">
        <v>520</v>
      </c>
    </row>
    <row r="1539" spans="1:10" hidden="1" x14ac:dyDescent="0.25">
      <c r="A1539" t="s">
        <v>140</v>
      </c>
      <c r="B1539" t="s">
        <v>6</v>
      </c>
      <c r="C1539" t="s">
        <v>7</v>
      </c>
      <c r="D1539" t="s">
        <v>476</v>
      </c>
      <c r="E1539" s="2">
        <v>43336.186018518521</v>
      </c>
      <c r="F1539" t="s">
        <v>302</v>
      </c>
      <c r="G1539" t="s">
        <v>455</v>
      </c>
      <c r="H1539" t="s">
        <v>441</v>
      </c>
      <c r="I1539" t="s">
        <v>511</v>
      </c>
      <c r="J1539" t="s">
        <v>514</v>
      </c>
    </row>
    <row r="1540" spans="1:10" hidden="1" x14ac:dyDescent="0.25">
      <c r="A1540" t="s">
        <v>234</v>
      </c>
      <c r="B1540" t="s">
        <v>6</v>
      </c>
      <c r="C1540" t="s">
        <v>7</v>
      </c>
      <c r="D1540" t="s">
        <v>10</v>
      </c>
      <c r="E1540" s="2">
        <v>43336.18608796296</v>
      </c>
      <c r="F1540" t="s">
        <v>585</v>
      </c>
      <c r="G1540" t="s">
        <v>318</v>
      </c>
      <c r="H1540" t="s">
        <v>433</v>
      </c>
      <c r="I1540" t="s">
        <v>494</v>
      </c>
      <c r="J1540" t="s">
        <v>501</v>
      </c>
    </row>
    <row r="1541" spans="1:10" hidden="1" x14ac:dyDescent="0.25">
      <c r="A1541" t="s">
        <v>238</v>
      </c>
      <c r="B1541" t="s">
        <v>6</v>
      </c>
      <c r="C1541" t="s">
        <v>7</v>
      </c>
      <c r="D1541" t="s">
        <v>476</v>
      </c>
      <c r="E1541" s="2">
        <v>43336.186145833337</v>
      </c>
      <c r="F1541" t="s">
        <v>590</v>
      </c>
      <c r="G1541" t="s">
        <v>429</v>
      </c>
      <c r="H1541" t="s">
        <v>459</v>
      </c>
      <c r="I1541" t="s">
        <v>494</v>
      </c>
      <c r="J1541" t="s">
        <v>497</v>
      </c>
    </row>
    <row r="1542" spans="1:10" hidden="1" x14ac:dyDescent="0.25">
      <c r="A1542" t="s">
        <v>94</v>
      </c>
      <c r="B1542" t="s">
        <v>6</v>
      </c>
      <c r="C1542" t="s">
        <v>7</v>
      </c>
      <c r="D1542" t="s">
        <v>10</v>
      </c>
      <c r="E1542" s="2">
        <v>43336.186238425929</v>
      </c>
      <c r="F1542" t="s">
        <v>299</v>
      </c>
      <c r="G1542" t="s">
        <v>318</v>
      </c>
      <c r="H1542" t="s">
        <v>435</v>
      </c>
      <c r="I1542" t="s">
        <v>492</v>
      </c>
      <c r="J1542" t="s">
        <v>546</v>
      </c>
    </row>
    <row r="1543" spans="1:10" hidden="1" x14ac:dyDescent="0.25">
      <c r="A1543" t="s">
        <v>174</v>
      </c>
      <c r="B1543" t="s">
        <v>6</v>
      </c>
      <c r="C1543" t="s">
        <v>7</v>
      </c>
      <c r="D1543" t="s">
        <v>10</v>
      </c>
      <c r="E1543" s="2">
        <v>43336.186354166668</v>
      </c>
      <c r="F1543" t="s">
        <v>303</v>
      </c>
      <c r="G1543" t="s">
        <v>429</v>
      </c>
      <c r="H1543" t="s">
        <v>448</v>
      </c>
      <c r="I1543" t="s">
        <v>494</v>
      </c>
      <c r="J1543" t="s">
        <v>501</v>
      </c>
    </row>
    <row r="1544" spans="1:10" hidden="1" x14ac:dyDescent="0.25">
      <c r="A1544" t="s">
        <v>327</v>
      </c>
      <c r="B1544" t="s">
        <v>6</v>
      </c>
      <c r="C1544" t="s">
        <v>7</v>
      </c>
      <c r="D1544" t="s">
        <v>10</v>
      </c>
      <c r="E1544" s="2">
        <v>43336.186388888891</v>
      </c>
      <c r="F1544" t="s">
        <v>586</v>
      </c>
      <c r="G1544" t="s">
        <v>318</v>
      </c>
      <c r="H1544" t="s">
        <v>442</v>
      </c>
      <c r="I1544" t="s">
        <v>490</v>
      </c>
      <c r="J1544" t="s">
        <v>491</v>
      </c>
    </row>
    <row r="1545" spans="1:10" hidden="1" x14ac:dyDescent="0.25">
      <c r="A1545" t="s">
        <v>267</v>
      </c>
      <c r="B1545" t="s">
        <v>6</v>
      </c>
      <c r="C1545" t="s">
        <v>7</v>
      </c>
      <c r="D1545" t="s">
        <v>27</v>
      </c>
      <c r="E1545" s="2">
        <v>43336.18644675926</v>
      </c>
      <c r="F1545" t="s">
        <v>300</v>
      </c>
      <c r="G1545" t="s">
        <v>462</v>
      </c>
      <c r="H1545" t="s">
        <v>452</v>
      </c>
      <c r="I1545" t="s">
        <v>498</v>
      </c>
      <c r="J1545" t="s">
        <v>498</v>
      </c>
    </row>
    <row r="1546" spans="1:10" hidden="1" x14ac:dyDescent="0.25">
      <c r="A1546" t="s">
        <v>366</v>
      </c>
      <c r="B1546" t="s">
        <v>6</v>
      </c>
      <c r="C1546" t="s">
        <v>7</v>
      </c>
      <c r="D1546" t="s">
        <v>13</v>
      </c>
      <c r="E1546" s="2">
        <v>43336.18644675926</v>
      </c>
      <c r="F1546" t="s">
        <v>591</v>
      </c>
      <c r="G1546" t="s">
        <v>318</v>
      </c>
      <c r="H1546" t="s">
        <v>430</v>
      </c>
      <c r="I1546" t="s">
        <v>554</v>
      </c>
      <c r="J1546" t="s">
        <v>556</v>
      </c>
    </row>
    <row r="1547" spans="1:10" hidden="1" x14ac:dyDescent="0.25">
      <c r="A1547" t="s">
        <v>486</v>
      </c>
      <c r="B1547" t="s">
        <v>6</v>
      </c>
      <c r="C1547" t="s">
        <v>7</v>
      </c>
      <c r="D1547" t="s">
        <v>10</v>
      </c>
      <c r="E1547" s="2">
        <v>43336.186527777776</v>
      </c>
      <c r="F1547" t="s">
        <v>587</v>
      </c>
      <c r="G1547" t="s">
        <v>458</v>
      </c>
      <c r="H1547" t="s">
        <v>452</v>
      </c>
      <c r="I1547" t="s">
        <v>524</v>
      </c>
      <c r="J1547" t="s">
        <v>520</v>
      </c>
    </row>
    <row r="1548" spans="1:10" hidden="1" x14ac:dyDescent="0.25">
      <c r="A1548" t="s">
        <v>220</v>
      </c>
      <c r="B1548" t="s">
        <v>6</v>
      </c>
      <c r="C1548" t="s">
        <v>7</v>
      </c>
      <c r="D1548" t="s">
        <v>484</v>
      </c>
      <c r="E1548" s="2">
        <v>43336.186550925922</v>
      </c>
      <c r="F1548" t="s">
        <v>298</v>
      </c>
      <c r="G1548" t="s">
        <v>318</v>
      </c>
      <c r="H1548" t="s">
        <v>434</v>
      </c>
      <c r="I1548" t="s">
        <v>509</v>
      </c>
      <c r="J1548" t="s">
        <v>510</v>
      </c>
    </row>
    <row r="1549" spans="1:10" hidden="1" x14ac:dyDescent="0.25">
      <c r="A1549" t="s">
        <v>294</v>
      </c>
      <c r="B1549" t="s">
        <v>6</v>
      </c>
      <c r="C1549" t="s">
        <v>7</v>
      </c>
      <c r="D1549" t="s">
        <v>10</v>
      </c>
      <c r="E1549" s="2">
        <v>43336.186689814815</v>
      </c>
      <c r="F1549" t="s">
        <v>585</v>
      </c>
      <c r="G1549" t="s">
        <v>318</v>
      </c>
      <c r="H1549" t="s">
        <v>434</v>
      </c>
      <c r="I1549" t="s">
        <v>494</v>
      </c>
      <c r="J1549" t="s">
        <v>501</v>
      </c>
    </row>
    <row r="1550" spans="1:10" hidden="1" x14ac:dyDescent="0.25">
      <c r="A1550" t="s">
        <v>138</v>
      </c>
      <c r="B1550" t="s">
        <v>6</v>
      </c>
      <c r="C1550" t="s">
        <v>7</v>
      </c>
      <c r="D1550" t="s">
        <v>476</v>
      </c>
      <c r="E1550" s="2">
        <v>43336.186689814815</v>
      </c>
      <c r="F1550" t="s">
        <v>302</v>
      </c>
      <c r="G1550" t="s">
        <v>455</v>
      </c>
      <c r="H1550" t="s">
        <v>442</v>
      </c>
      <c r="I1550" t="s">
        <v>511</v>
      </c>
      <c r="J1550" t="s">
        <v>512</v>
      </c>
    </row>
    <row r="1551" spans="1:10" hidden="1" x14ac:dyDescent="0.25">
      <c r="A1551" t="s">
        <v>23</v>
      </c>
      <c r="B1551" t="s">
        <v>6</v>
      </c>
      <c r="C1551" t="s">
        <v>7</v>
      </c>
      <c r="D1551" t="s">
        <v>13</v>
      </c>
      <c r="E1551" s="2">
        <v>43336.186909722222</v>
      </c>
      <c r="F1551" t="s">
        <v>590</v>
      </c>
      <c r="G1551" t="s">
        <v>429</v>
      </c>
      <c r="H1551" t="s">
        <v>460</v>
      </c>
      <c r="I1551" t="s">
        <v>494</v>
      </c>
      <c r="J1551" t="s">
        <v>497</v>
      </c>
    </row>
    <row r="1552" spans="1:10" hidden="1" x14ac:dyDescent="0.25">
      <c r="A1552" t="s">
        <v>91</v>
      </c>
      <c r="B1552" t="s">
        <v>6</v>
      </c>
      <c r="C1552" t="s">
        <v>7</v>
      </c>
      <c r="D1552" t="s">
        <v>10</v>
      </c>
      <c r="E1552" s="2">
        <v>43336.186909722222</v>
      </c>
      <c r="F1552" t="s">
        <v>299</v>
      </c>
      <c r="G1552" t="s">
        <v>318</v>
      </c>
      <c r="H1552" t="s">
        <v>436</v>
      </c>
      <c r="I1552" t="s">
        <v>492</v>
      </c>
      <c r="J1552" t="s">
        <v>546</v>
      </c>
    </row>
    <row r="1553" spans="1:10" hidden="1" x14ac:dyDescent="0.25">
      <c r="A1553" t="s">
        <v>290</v>
      </c>
      <c r="B1553" t="s">
        <v>6</v>
      </c>
      <c r="C1553" t="s">
        <v>7</v>
      </c>
      <c r="D1553" t="s">
        <v>476</v>
      </c>
      <c r="E1553" s="2">
        <v>43336.186967592592</v>
      </c>
      <c r="F1553" t="s">
        <v>303</v>
      </c>
      <c r="G1553" t="s">
        <v>429</v>
      </c>
      <c r="H1553" t="s">
        <v>449</v>
      </c>
      <c r="I1553" t="s">
        <v>494</v>
      </c>
      <c r="J1553" t="s">
        <v>501</v>
      </c>
    </row>
    <row r="1554" spans="1:10" hidden="1" x14ac:dyDescent="0.25">
      <c r="A1554" t="s">
        <v>414</v>
      </c>
      <c r="B1554" t="s">
        <v>6</v>
      </c>
      <c r="C1554" t="s">
        <v>7</v>
      </c>
      <c r="D1554" t="s">
        <v>10</v>
      </c>
      <c r="E1554" s="2">
        <v>43336.187002314815</v>
      </c>
      <c r="F1554" t="s">
        <v>586</v>
      </c>
      <c r="G1554" t="s">
        <v>318</v>
      </c>
      <c r="H1554" t="s">
        <v>443</v>
      </c>
      <c r="I1554" t="s">
        <v>490</v>
      </c>
      <c r="J1554" t="s">
        <v>491</v>
      </c>
    </row>
    <row r="1555" spans="1:10" hidden="1" x14ac:dyDescent="0.25">
      <c r="A1555" t="s">
        <v>379</v>
      </c>
      <c r="B1555" t="s">
        <v>6</v>
      </c>
      <c r="C1555" t="s">
        <v>7</v>
      </c>
      <c r="D1555" t="s">
        <v>476</v>
      </c>
      <c r="E1555" s="2">
        <v>43336.187060185184</v>
      </c>
      <c r="F1555" t="s">
        <v>591</v>
      </c>
      <c r="G1555" t="s">
        <v>318</v>
      </c>
      <c r="H1555" t="s">
        <v>431</v>
      </c>
      <c r="I1555" t="s">
        <v>554</v>
      </c>
      <c r="J1555" t="s">
        <v>556</v>
      </c>
    </row>
    <row r="1556" spans="1:10" hidden="1" x14ac:dyDescent="0.25">
      <c r="A1556" t="s">
        <v>55</v>
      </c>
      <c r="B1556" t="s">
        <v>6</v>
      </c>
      <c r="C1556" t="s">
        <v>7</v>
      </c>
      <c r="D1556" t="s">
        <v>10</v>
      </c>
      <c r="E1556" s="2">
        <v>43336.187083333331</v>
      </c>
      <c r="F1556" t="s">
        <v>300</v>
      </c>
      <c r="G1556" t="s">
        <v>462</v>
      </c>
      <c r="H1556" t="s">
        <v>318</v>
      </c>
      <c r="I1556" t="s">
        <v>558</v>
      </c>
      <c r="J1556" t="s">
        <v>562</v>
      </c>
    </row>
    <row r="1557" spans="1:10" hidden="1" x14ac:dyDescent="0.25">
      <c r="A1557" t="s">
        <v>235</v>
      </c>
      <c r="B1557" t="s">
        <v>6</v>
      </c>
      <c r="C1557" t="s">
        <v>7</v>
      </c>
      <c r="D1557" t="s">
        <v>10</v>
      </c>
      <c r="E1557" s="2">
        <v>43336.187268518515</v>
      </c>
      <c r="F1557" t="s">
        <v>302</v>
      </c>
      <c r="G1557" t="s">
        <v>455</v>
      </c>
      <c r="H1557" t="s">
        <v>443</v>
      </c>
      <c r="I1557" t="s">
        <v>508</v>
      </c>
      <c r="J1557" t="s">
        <v>508</v>
      </c>
    </row>
    <row r="1558" spans="1:10" hidden="1" x14ac:dyDescent="0.25">
      <c r="A1558" t="s">
        <v>387</v>
      </c>
      <c r="B1558" t="s">
        <v>6</v>
      </c>
      <c r="C1558" t="s">
        <v>7</v>
      </c>
      <c r="D1558" t="s">
        <v>27</v>
      </c>
      <c r="E1558" s="2">
        <v>43336.187268518515</v>
      </c>
      <c r="F1558" t="s">
        <v>587</v>
      </c>
      <c r="G1558" t="s">
        <v>458</v>
      </c>
      <c r="H1558" t="s">
        <v>318</v>
      </c>
      <c r="I1558" t="s">
        <v>490</v>
      </c>
      <c r="J1558" t="s">
        <v>491</v>
      </c>
    </row>
    <row r="1559" spans="1:10" hidden="1" x14ac:dyDescent="0.25">
      <c r="A1559" t="s">
        <v>295</v>
      </c>
      <c r="B1559" t="s">
        <v>6</v>
      </c>
      <c r="C1559" t="s">
        <v>7</v>
      </c>
      <c r="D1559" t="s">
        <v>10</v>
      </c>
      <c r="E1559" s="2">
        <v>43336.187303240738</v>
      </c>
      <c r="F1559" t="s">
        <v>585</v>
      </c>
      <c r="G1559" t="s">
        <v>318</v>
      </c>
      <c r="H1559" t="s">
        <v>435</v>
      </c>
      <c r="I1559" t="s">
        <v>494</v>
      </c>
      <c r="J1559" t="s">
        <v>501</v>
      </c>
    </row>
    <row r="1560" spans="1:10" hidden="1" x14ac:dyDescent="0.25">
      <c r="A1560" t="s">
        <v>22</v>
      </c>
      <c r="B1560" t="s">
        <v>6</v>
      </c>
      <c r="C1560" t="s">
        <v>7</v>
      </c>
      <c r="D1560" t="s">
        <v>476</v>
      </c>
      <c r="E1560" s="2">
        <v>43336.1875462963</v>
      </c>
      <c r="F1560" t="s">
        <v>590</v>
      </c>
      <c r="G1560" t="s">
        <v>429</v>
      </c>
      <c r="H1560" t="s">
        <v>461</v>
      </c>
      <c r="I1560" t="s">
        <v>494</v>
      </c>
      <c r="J1560" t="s">
        <v>497</v>
      </c>
    </row>
    <row r="1561" spans="1:10" hidden="1" x14ac:dyDescent="0.25">
      <c r="A1561" t="s">
        <v>89</v>
      </c>
      <c r="B1561" t="s">
        <v>6</v>
      </c>
      <c r="C1561" t="s">
        <v>7</v>
      </c>
      <c r="D1561" t="s">
        <v>10</v>
      </c>
      <c r="E1561" s="2">
        <v>43336.187569444446</v>
      </c>
      <c r="F1561" t="s">
        <v>299</v>
      </c>
      <c r="G1561" t="s">
        <v>318</v>
      </c>
      <c r="H1561" t="s">
        <v>437</v>
      </c>
      <c r="I1561" t="s">
        <v>492</v>
      </c>
      <c r="J1561" t="s">
        <v>546</v>
      </c>
    </row>
    <row r="1562" spans="1:10" hidden="1" x14ac:dyDescent="0.25">
      <c r="A1562" t="s">
        <v>236</v>
      </c>
      <c r="B1562" t="s">
        <v>6</v>
      </c>
      <c r="C1562" t="s">
        <v>7</v>
      </c>
      <c r="D1562" t="s">
        <v>10</v>
      </c>
      <c r="E1562" s="2">
        <v>43336.187581018516</v>
      </c>
      <c r="F1562" t="s">
        <v>303</v>
      </c>
      <c r="G1562" t="s">
        <v>429</v>
      </c>
      <c r="H1562" t="s">
        <v>450</v>
      </c>
      <c r="I1562" t="s">
        <v>494</v>
      </c>
      <c r="J1562" t="s">
        <v>501</v>
      </c>
    </row>
    <row r="1563" spans="1:10" hidden="1" x14ac:dyDescent="0.25">
      <c r="A1563" t="s">
        <v>420</v>
      </c>
      <c r="B1563" t="s">
        <v>6</v>
      </c>
      <c r="C1563" t="s">
        <v>7</v>
      </c>
      <c r="D1563" t="s">
        <v>10</v>
      </c>
      <c r="E1563" s="2">
        <v>43336.187615740739</v>
      </c>
      <c r="F1563" t="s">
        <v>586</v>
      </c>
      <c r="G1563" t="s">
        <v>318</v>
      </c>
      <c r="H1563" t="s">
        <v>444</v>
      </c>
      <c r="I1563" t="s">
        <v>490</v>
      </c>
      <c r="J1563" t="s">
        <v>491</v>
      </c>
    </row>
    <row r="1564" spans="1:10" hidden="1" x14ac:dyDescent="0.25">
      <c r="A1564" t="s">
        <v>107</v>
      </c>
      <c r="B1564" t="s">
        <v>6</v>
      </c>
      <c r="C1564" t="s">
        <v>7</v>
      </c>
      <c r="D1564" t="s">
        <v>10</v>
      </c>
      <c r="E1564" s="2">
        <v>43336.187696759262</v>
      </c>
      <c r="F1564" t="s">
        <v>300</v>
      </c>
      <c r="G1564" t="s">
        <v>462</v>
      </c>
      <c r="H1564" t="s">
        <v>323</v>
      </c>
      <c r="I1564" t="s">
        <v>494</v>
      </c>
      <c r="J1564" t="s">
        <v>13</v>
      </c>
    </row>
    <row r="1565" spans="1:10" hidden="1" x14ac:dyDescent="0.25">
      <c r="A1565" t="s">
        <v>418</v>
      </c>
      <c r="B1565" t="s">
        <v>6</v>
      </c>
      <c r="C1565" t="s">
        <v>7</v>
      </c>
      <c r="D1565" t="s">
        <v>13</v>
      </c>
      <c r="E1565" s="2">
        <v>43336.187800925924</v>
      </c>
      <c r="F1565" t="s">
        <v>591</v>
      </c>
      <c r="G1565" t="s">
        <v>318</v>
      </c>
      <c r="H1565" t="s">
        <v>432</v>
      </c>
      <c r="I1565" t="s">
        <v>554</v>
      </c>
      <c r="J1565" t="s">
        <v>556</v>
      </c>
    </row>
    <row r="1566" spans="1:10" hidden="1" x14ac:dyDescent="0.25">
      <c r="A1566" t="s">
        <v>275</v>
      </c>
      <c r="B1566" t="s">
        <v>6</v>
      </c>
      <c r="C1566" t="s">
        <v>7</v>
      </c>
      <c r="D1566" t="s">
        <v>476</v>
      </c>
      <c r="E1566" s="2">
        <v>43336.187858796293</v>
      </c>
      <c r="F1566" t="s">
        <v>302</v>
      </c>
      <c r="G1566" t="s">
        <v>455</v>
      </c>
      <c r="H1566" t="s">
        <v>444</v>
      </c>
      <c r="I1566" t="s">
        <v>505</v>
      </c>
      <c r="J1566" t="s">
        <v>506</v>
      </c>
    </row>
    <row r="1567" spans="1:10" hidden="1" x14ac:dyDescent="0.25">
      <c r="A1567" t="s">
        <v>369</v>
      </c>
      <c r="B1567" t="s">
        <v>6</v>
      </c>
      <c r="C1567" t="s">
        <v>7</v>
      </c>
      <c r="D1567" t="s">
        <v>10</v>
      </c>
      <c r="E1567" s="2">
        <v>43336.187881944446</v>
      </c>
      <c r="F1567" t="s">
        <v>587</v>
      </c>
      <c r="G1567" t="s">
        <v>458</v>
      </c>
      <c r="H1567" t="s">
        <v>323</v>
      </c>
      <c r="I1567" t="s">
        <v>490</v>
      </c>
      <c r="J1567" t="s">
        <v>491</v>
      </c>
    </row>
    <row r="1568" spans="1:10" hidden="1" x14ac:dyDescent="0.25">
      <c r="A1568" t="s">
        <v>178</v>
      </c>
      <c r="B1568" t="s">
        <v>6</v>
      </c>
      <c r="C1568" t="s">
        <v>7</v>
      </c>
      <c r="D1568" t="s">
        <v>10</v>
      </c>
      <c r="E1568" s="2">
        <v>43336.187916666669</v>
      </c>
      <c r="F1568" t="s">
        <v>585</v>
      </c>
      <c r="G1568" t="s">
        <v>318</v>
      </c>
      <c r="H1568" t="s">
        <v>436</v>
      </c>
      <c r="I1568" t="s">
        <v>494</v>
      </c>
      <c r="J1568" t="s">
        <v>501</v>
      </c>
    </row>
    <row r="1569" spans="1:10" hidden="1" x14ac:dyDescent="0.25">
      <c r="A1569" t="s">
        <v>224</v>
      </c>
      <c r="B1569" t="s">
        <v>6</v>
      </c>
      <c r="C1569" t="s">
        <v>7</v>
      </c>
      <c r="D1569" t="s">
        <v>484</v>
      </c>
      <c r="E1569" s="2">
        <v>43336.188032407408</v>
      </c>
      <c r="F1569" t="s">
        <v>298</v>
      </c>
      <c r="G1569" t="s">
        <v>318</v>
      </c>
      <c r="H1569" t="s">
        <v>435</v>
      </c>
      <c r="I1569" t="s">
        <v>13</v>
      </c>
      <c r="J1569" t="s">
        <v>516</v>
      </c>
    </row>
    <row r="1570" spans="1:10" hidden="1" x14ac:dyDescent="0.25">
      <c r="A1570" t="s">
        <v>21</v>
      </c>
      <c r="B1570" t="s">
        <v>6</v>
      </c>
      <c r="C1570" t="s">
        <v>7</v>
      </c>
      <c r="D1570" t="s">
        <v>476</v>
      </c>
      <c r="E1570" s="2">
        <v>43336.188159722224</v>
      </c>
      <c r="F1570" t="s">
        <v>590</v>
      </c>
      <c r="G1570" t="s">
        <v>429</v>
      </c>
      <c r="H1570" t="s">
        <v>462</v>
      </c>
      <c r="I1570" t="s">
        <v>494</v>
      </c>
      <c r="J1570" t="s">
        <v>497</v>
      </c>
    </row>
    <row r="1571" spans="1:10" hidden="1" x14ac:dyDescent="0.25">
      <c r="A1571" t="s">
        <v>421</v>
      </c>
      <c r="B1571" t="s">
        <v>6</v>
      </c>
      <c r="C1571" t="s">
        <v>7</v>
      </c>
      <c r="D1571" t="s">
        <v>10</v>
      </c>
      <c r="E1571" s="2">
        <v>43336.18822916667</v>
      </c>
      <c r="F1571" t="s">
        <v>586</v>
      </c>
      <c r="G1571" t="s">
        <v>318</v>
      </c>
      <c r="H1571" t="s">
        <v>445</v>
      </c>
      <c r="I1571" t="s">
        <v>490</v>
      </c>
      <c r="J1571" t="s">
        <v>491</v>
      </c>
    </row>
    <row r="1572" spans="1:10" hidden="1" x14ac:dyDescent="0.25">
      <c r="A1572" t="s">
        <v>92</v>
      </c>
      <c r="B1572" t="s">
        <v>6</v>
      </c>
      <c r="C1572" t="s">
        <v>7</v>
      </c>
      <c r="D1572" t="s">
        <v>476</v>
      </c>
      <c r="E1572" s="2">
        <v>43336.18822916667</v>
      </c>
      <c r="F1572" t="s">
        <v>299</v>
      </c>
      <c r="G1572" t="s">
        <v>318</v>
      </c>
      <c r="H1572" t="s">
        <v>438</v>
      </c>
      <c r="I1572" t="s">
        <v>492</v>
      </c>
      <c r="J1572" t="s">
        <v>546</v>
      </c>
    </row>
    <row r="1573" spans="1:10" hidden="1" x14ac:dyDescent="0.25">
      <c r="A1573" t="s">
        <v>93</v>
      </c>
      <c r="B1573" t="s">
        <v>6</v>
      </c>
      <c r="C1573" t="s">
        <v>7</v>
      </c>
      <c r="D1573" t="s">
        <v>10</v>
      </c>
      <c r="E1573" s="2">
        <v>43336.188310185185</v>
      </c>
      <c r="F1573" t="s">
        <v>300</v>
      </c>
      <c r="G1573" t="s">
        <v>462</v>
      </c>
      <c r="H1573" t="s">
        <v>385</v>
      </c>
      <c r="I1573" t="s">
        <v>552</v>
      </c>
      <c r="J1573" t="s">
        <v>565</v>
      </c>
    </row>
    <row r="1574" spans="1:10" hidden="1" x14ac:dyDescent="0.25">
      <c r="A1574" t="s">
        <v>173</v>
      </c>
      <c r="B1574" t="s">
        <v>6</v>
      </c>
      <c r="C1574" t="s">
        <v>7</v>
      </c>
      <c r="D1574" t="s">
        <v>27</v>
      </c>
      <c r="E1574" s="2">
        <v>43336.188344907408</v>
      </c>
      <c r="F1574" t="s">
        <v>303</v>
      </c>
      <c r="G1574" t="s">
        <v>429</v>
      </c>
      <c r="H1574" t="s">
        <v>451</v>
      </c>
      <c r="I1574" t="s">
        <v>494</v>
      </c>
      <c r="J1574" t="s">
        <v>501</v>
      </c>
    </row>
    <row r="1575" spans="1:10" hidden="1" x14ac:dyDescent="0.25">
      <c r="A1575" t="s">
        <v>135</v>
      </c>
      <c r="B1575" t="s">
        <v>6</v>
      </c>
      <c r="C1575" t="s">
        <v>7</v>
      </c>
      <c r="D1575" t="s">
        <v>10</v>
      </c>
      <c r="E1575" s="2">
        <v>43336.18854166667</v>
      </c>
      <c r="F1575" t="s">
        <v>302</v>
      </c>
      <c r="G1575" t="s">
        <v>455</v>
      </c>
      <c r="H1575" t="s">
        <v>445</v>
      </c>
      <c r="I1575" t="s">
        <v>502</v>
      </c>
      <c r="J1575" t="s">
        <v>503</v>
      </c>
    </row>
    <row r="1576" spans="1:10" hidden="1" x14ac:dyDescent="0.25">
      <c r="A1576" t="s">
        <v>40</v>
      </c>
      <c r="B1576" t="s">
        <v>6</v>
      </c>
      <c r="C1576" t="s">
        <v>7</v>
      </c>
      <c r="D1576" t="s">
        <v>27</v>
      </c>
      <c r="E1576" s="2">
        <v>43336.188645833332</v>
      </c>
      <c r="F1576" t="s">
        <v>585</v>
      </c>
      <c r="G1576" t="s">
        <v>318</v>
      </c>
      <c r="H1576" t="s">
        <v>437</v>
      </c>
      <c r="I1576" t="s">
        <v>494</v>
      </c>
      <c r="J1576" t="s">
        <v>501</v>
      </c>
    </row>
    <row r="1577" spans="1:10" hidden="1" x14ac:dyDescent="0.25">
      <c r="A1577" t="s">
        <v>402</v>
      </c>
      <c r="B1577" t="s">
        <v>6</v>
      </c>
      <c r="C1577" t="s">
        <v>7</v>
      </c>
      <c r="D1577" t="s">
        <v>13</v>
      </c>
      <c r="E1577" s="2">
        <v>43336.188657407409</v>
      </c>
      <c r="F1577" t="s">
        <v>591</v>
      </c>
      <c r="G1577" t="s">
        <v>318</v>
      </c>
      <c r="H1577" t="s">
        <v>433</v>
      </c>
      <c r="I1577" t="s">
        <v>554</v>
      </c>
      <c r="J1577" t="s">
        <v>556</v>
      </c>
    </row>
    <row r="1578" spans="1:10" hidden="1" x14ac:dyDescent="0.25">
      <c r="A1578" t="s">
        <v>319</v>
      </c>
      <c r="B1578" t="s">
        <v>6</v>
      </c>
      <c r="C1578" t="s">
        <v>7</v>
      </c>
      <c r="D1578" t="s">
        <v>27</v>
      </c>
      <c r="E1578" s="2">
        <v>43336.188657407409</v>
      </c>
      <c r="F1578" t="s">
        <v>587</v>
      </c>
      <c r="G1578" t="s">
        <v>458</v>
      </c>
      <c r="H1578" t="s">
        <v>385</v>
      </c>
      <c r="I1578" t="s">
        <v>490</v>
      </c>
      <c r="J1578" t="s">
        <v>491</v>
      </c>
    </row>
    <row r="1579" spans="1:10" hidden="1" x14ac:dyDescent="0.25">
      <c r="A1579" t="s">
        <v>20</v>
      </c>
      <c r="B1579" t="s">
        <v>6</v>
      </c>
      <c r="C1579" t="s">
        <v>7</v>
      </c>
      <c r="D1579" t="s">
        <v>13</v>
      </c>
      <c r="E1579" s="2">
        <v>43336.18891203704</v>
      </c>
      <c r="F1579" t="s">
        <v>590</v>
      </c>
      <c r="G1579" t="s">
        <v>429</v>
      </c>
      <c r="H1579" t="s">
        <v>453</v>
      </c>
      <c r="I1579" t="s">
        <v>494</v>
      </c>
      <c r="J1579" t="s">
        <v>13</v>
      </c>
    </row>
    <row r="1580" spans="1:10" hidden="1" x14ac:dyDescent="0.25">
      <c r="A1580" t="s">
        <v>390</v>
      </c>
      <c r="B1580" t="s">
        <v>6</v>
      </c>
      <c r="C1580" t="s">
        <v>7</v>
      </c>
      <c r="D1580" t="s">
        <v>10</v>
      </c>
      <c r="E1580" s="2">
        <v>43336.188946759263</v>
      </c>
      <c r="F1580" t="s">
        <v>586</v>
      </c>
      <c r="G1580" t="s">
        <v>318</v>
      </c>
      <c r="H1580" t="s">
        <v>446</v>
      </c>
      <c r="I1580" t="s">
        <v>490</v>
      </c>
      <c r="J1580" t="s">
        <v>491</v>
      </c>
    </row>
    <row r="1581" spans="1:10" hidden="1" x14ac:dyDescent="0.25">
      <c r="A1581" t="s">
        <v>68</v>
      </c>
      <c r="B1581" t="s">
        <v>6</v>
      </c>
      <c r="C1581" t="s">
        <v>7</v>
      </c>
      <c r="D1581" t="s">
        <v>10</v>
      </c>
      <c r="E1581" s="2">
        <v>43336.188946759263</v>
      </c>
      <c r="F1581" t="s">
        <v>300</v>
      </c>
      <c r="G1581" t="s">
        <v>462</v>
      </c>
      <c r="H1581" t="s">
        <v>457</v>
      </c>
      <c r="I1581" t="s">
        <v>552</v>
      </c>
      <c r="J1581" t="s">
        <v>568</v>
      </c>
    </row>
    <row r="1582" spans="1:10" hidden="1" x14ac:dyDescent="0.25">
      <c r="A1582" t="s">
        <v>69</v>
      </c>
      <c r="B1582" t="s">
        <v>6</v>
      </c>
      <c r="C1582" t="s">
        <v>7</v>
      </c>
      <c r="D1582" t="s">
        <v>476</v>
      </c>
      <c r="E1582" s="2">
        <v>43336.188946759263</v>
      </c>
      <c r="F1582" t="s">
        <v>299</v>
      </c>
      <c r="G1582" t="s">
        <v>318</v>
      </c>
      <c r="H1582" t="s">
        <v>439</v>
      </c>
      <c r="I1582" t="s">
        <v>492</v>
      </c>
      <c r="J1582" t="s">
        <v>546</v>
      </c>
    </row>
    <row r="1583" spans="1:10" hidden="1" x14ac:dyDescent="0.25">
      <c r="A1583" t="s">
        <v>172</v>
      </c>
      <c r="B1583" t="s">
        <v>6</v>
      </c>
      <c r="C1583" t="s">
        <v>7</v>
      </c>
      <c r="D1583" t="s">
        <v>10</v>
      </c>
      <c r="E1583" s="2">
        <v>43336.188981481479</v>
      </c>
      <c r="F1583" t="s">
        <v>303</v>
      </c>
      <c r="G1583" t="s">
        <v>429</v>
      </c>
      <c r="H1583" t="s">
        <v>452</v>
      </c>
      <c r="I1583" t="s">
        <v>494</v>
      </c>
      <c r="J1583" t="s">
        <v>501</v>
      </c>
    </row>
    <row r="1584" spans="1:10" hidden="1" x14ac:dyDescent="0.25">
      <c r="A1584" t="s">
        <v>276</v>
      </c>
      <c r="B1584" t="s">
        <v>6</v>
      </c>
      <c r="C1584" t="s">
        <v>7</v>
      </c>
      <c r="D1584" t="s">
        <v>10</v>
      </c>
      <c r="E1584" s="2">
        <v>43336.189155092594</v>
      </c>
      <c r="F1584" t="s">
        <v>302</v>
      </c>
      <c r="G1584" t="s">
        <v>455</v>
      </c>
      <c r="H1584" t="s">
        <v>446</v>
      </c>
      <c r="I1584" t="s">
        <v>502</v>
      </c>
      <c r="J1584" t="s">
        <v>503</v>
      </c>
    </row>
    <row r="1585" spans="1:10" hidden="1" x14ac:dyDescent="0.25">
      <c r="A1585" t="s">
        <v>320</v>
      </c>
      <c r="B1585" t="s">
        <v>6</v>
      </c>
      <c r="C1585" t="s">
        <v>7</v>
      </c>
      <c r="D1585" t="s">
        <v>10</v>
      </c>
      <c r="E1585" s="2">
        <v>43336.189282407409</v>
      </c>
      <c r="F1585" t="s">
        <v>587</v>
      </c>
      <c r="G1585" t="s">
        <v>458</v>
      </c>
      <c r="H1585" t="s">
        <v>457</v>
      </c>
      <c r="I1585" t="s">
        <v>490</v>
      </c>
      <c r="J1585" t="s">
        <v>491</v>
      </c>
    </row>
    <row r="1586" spans="1:10" hidden="1" x14ac:dyDescent="0.25">
      <c r="A1586" t="s">
        <v>149</v>
      </c>
      <c r="B1586" t="s">
        <v>6</v>
      </c>
      <c r="C1586" t="s">
        <v>7</v>
      </c>
      <c r="D1586" t="s">
        <v>27</v>
      </c>
      <c r="E1586" s="2">
        <v>43336.189421296294</v>
      </c>
      <c r="F1586" t="s">
        <v>585</v>
      </c>
      <c r="G1586" t="s">
        <v>318</v>
      </c>
      <c r="H1586" t="s">
        <v>438</v>
      </c>
      <c r="I1586" t="s">
        <v>494</v>
      </c>
      <c r="J1586" t="s">
        <v>501</v>
      </c>
    </row>
    <row r="1587" spans="1:10" hidden="1" x14ac:dyDescent="0.25">
      <c r="A1587" t="s">
        <v>403</v>
      </c>
      <c r="B1587" t="s">
        <v>6</v>
      </c>
      <c r="C1587" t="s">
        <v>7</v>
      </c>
      <c r="D1587" t="s">
        <v>13</v>
      </c>
      <c r="E1587" s="2">
        <v>43336.189444444448</v>
      </c>
      <c r="F1587" t="s">
        <v>591</v>
      </c>
      <c r="G1587" t="s">
        <v>318</v>
      </c>
      <c r="H1587" t="s">
        <v>434</v>
      </c>
      <c r="I1587" t="s">
        <v>554</v>
      </c>
      <c r="J1587" t="s">
        <v>556</v>
      </c>
    </row>
    <row r="1588" spans="1:10" hidden="1" x14ac:dyDescent="0.25">
      <c r="A1588" t="s">
        <v>225</v>
      </c>
      <c r="B1588" t="s">
        <v>6</v>
      </c>
      <c r="C1588" t="s">
        <v>7</v>
      </c>
      <c r="D1588" t="s">
        <v>484</v>
      </c>
      <c r="E1588" s="2">
        <v>43336.189479166664</v>
      </c>
      <c r="F1588" t="s">
        <v>298</v>
      </c>
      <c r="G1588" t="s">
        <v>318</v>
      </c>
      <c r="H1588" t="s">
        <v>436</v>
      </c>
      <c r="I1588" t="s">
        <v>492</v>
      </c>
      <c r="J1588" t="s">
        <v>493</v>
      </c>
    </row>
    <row r="1589" spans="1:10" hidden="1" x14ac:dyDescent="0.25">
      <c r="A1589" t="s">
        <v>19</v>
      </c>
      <c r="B1589" t="s">
        <v>6</v>
      </c>
      <c r="C1589" t="s">
        <v>7</v>
      </c>
      <c r="D1589" t="s">
        <v>476</v>
      </c>
      <c r="E1589" s="2">
        <v>43336.189513888887</v>
      </c>
      <c r="F1589" t="s">
        <v>590</v>
      </c>
      <c r="G1589" t="s">
        <v>429</v>
      </c>
      <c r="H1589" t="s">
        <v>454</v>
      </c>
      <c r="I1589" t="s">
        <v>494</v>
      </c>
      <c r="J1589" t="s">
        <v>509</v>
      </c>
    </row>
    <row r="1590" spans="1:10" hidden="1" x14ac:dyDescent="0.25">
      <c r="A1590" t="s">
        <v>391</v>
      </c>
      <c r="B1590" t="s">
        <v>6</v>
      </c>
      <c r="C1590" t="s">
        <v>7</v>
      </c>
      <c r="D1590" t="s">
        <v>10</v>
      </c>
      <c r="E1590" s="2">
        <v>43336.189560185187</v>
      </c>
      <c r="F1590" t="s">
        <v>586</v>
      </c>
      <c r="G1590" t="s">
        <v>318</v>
      </c>
      <c r="H1590" t="s">
        <v>447</v>
      </c>
      <c r="I1590" t="s">
        <v>490</v>
      </c>
      <c r="J1590" t="s">
        <v>491</v>
      </c>
    </row>
    <row r="1591" spans="1:10" hidden="1" x14ac:dyDescent="0.25">
      <c r="A1591" t="s">
        <v>95</v>
      </c>
      <c r="B1591" t="s">
        <v>6</v>
      </c>
      <c r="C1591" t="s">
        <v>7</v>
      </c>
      <c r="D1591" t="s">
        <v>10</v>
      </c>
      <c r="E1591" s="2">
        <v>43336.189560185187</v>
      </c>
      <c r="F1591" t="s">
        <v>300</v>
      </c>
      <c r="G1591" t="s">
        <v>462</v>
      </c>
      <c r="H1591" t="s">
        <v>458</v>
      </c>
      <c r="I1591" t="s">
        <v>552</v>
      </c>
      <c r="J1591" t="s">
        <v>568</v>
      </c>
    </row>
    <row r="1592" spans="1:10" hidden="1" x14ac:dyDescent="0.25">
      <c r="A1592" t="s">
        <v>278</v>
      </c>
      <c r="B1592" t="s">
        <v>6</v>
      </c>
      <c r="C1592" t="s">
        <v>7</v>
      </c>
      <c r="D1592" t="s">
        <v>476</v>
      </c>
      <c r="E1592" s="2">
        <v>43336.18959490741</v>
      </c>
      <c r="F1592" t="s">
        <v>303</v>
      </c>
      <c r="G1592" t="s">
        <v>429</v>
      </c>
      <c r="H1592" t="s">
        <v>318</v>
      </c>
      <c r="I1592" t="s">
        <v>498</v>
      </c>
      <c r="J1592" t="s">
        <v>498</v>
      </c>
    </row>
    <row r="1593" spans="1:10" hidden="1" x14ac:dyDescent="0.25">
      <c r="A1593" t="s">
        <v>152</v>
      </c>
      <c r="B1593" t="s">
        <v>6</v>
      </c>
      <c r="C1593" t="s">
        <v>7</v>
      </c>
      <c r="D1593" t="s">
        <v>27</v>
      </c>
      <c r="E1593" s="2">
        <v>43336.189722222225</v>
      </c>
      <c r="F1593" t="s">
        <v>299</v>
      </c>
      <c r="G1593" t="s">
        <v>318</v>
      </c>
      <c r="H1593" t="s">
        <v>440</v>
      </c>
      <c r="I1593" t="s">
        <v>492</v>
      </c>
      <c r="J1593" t="s">
        <v>546</v>
      </c>
    </row>
    <row r="1594" spans="1:10" hidden="1" x14ac:dyDescent="0.25">
      <c r="A1594" t="s">
        <v>277</v>
      </c>
      <c r="B1594" t="s">
        <v>6</v>
      </c>
      <c r="C1594" t="s">
        <v>7</v>
      </c>
      <c r="D1594" t="s">
        <v>476</v>
      </c>
      <c r="E1594" s="2">
        <v>43336.189756944441</v>
      </c>
      <c r="F1594" t="s">
        <v>302</v>
      </c>
      <c r="G1594" t="s">
        <v>455</v>
      </c>
      <c r="H1594" t="s">
        <v>447</v>
      </c>
      <c r="I1594" t="s">
        <v>498</v>
      </c>
      <c r="J1594" t="s">
        <v>498</v>
      </c>
    </row>
    <row r="1595" spans="1:10" hidden="1" x14ac:dyDescent="0.25">
      <c r="A1595" t="s">
        <v>359</v>
      </c>
      <c r="B1595" t="s">
        <v>6</v>
      </c>
      <c r="C1595" t="s">
        <v>7</v>
      </c>
      <c r="D1595" t="s">
        <v>27</v>
      </c>
      <c r="E1595" s="2">
        <v>43336.190023148149</v>
      </c>
      <c r="F1595" t="s">
        <v>587</v>
      </c>
      <c r="G1595" t="s">
        <v>458</v>
      </c>
      <c r="H1595" t="s">
        <v>458</v>
      </c>
      <c r="I1595" t="s">
        <v>490</v>
      </c>
      <c r="J1595" t="s">
        <v>491</v>
      </c>
    </row>
    <row r="1596" spans="1:10" hidden="1" x14ac:dyDescent="0.25">
      <c r="A1596" t="s">
        <v>176</v>
      </c>
      <c r="B1596" t="s">
        <v>6</v>
      </c>
      <c r="C1596" t="s">
        <v>7</v>
      </c>
      <c r="D1596" t="s">
        <v>476</v>
      </c>
      <c r="E1596" s="2">
        <v>43336.190046296295</v>
      </c>
      <c r="F1596" t="s">
        <v>585</v>
      </c>
      <c r="G1596" t="s">
        <v>318</v>
      </c>
      <c r="H1596" t="s">
        <v>439</v>
      </c>
      <c r="I1596" t="s">
        <v>494</v>
      </c>
      <c r="J1596" t="s">
        <v>495</v>
      </c>
    </row>
    <row r="1597" spans="1:10" hidden="1" x14ac:dyDescent="0.25">
      <c r="A1597" t="s">
        <v>229</v>
      </c>
      <c r="B1597" t="s">
        <v>6</v>
      </c>
      <c r="C1597" t="s">
        <v>7</v>
      </c>
      <c r="D1597" t="s">
        <v>10</v>
      </c>
      <c r="E1597" s="2">
        <v>43336.190069444441</v>
      </c>
      <c r="F1597" t="s">
        <v>298</v>
      </c>
      <c r="G1597" t="s">
        <v>318</v>
      </c>
      <c r="H1597" t="s">
        <v>437</v>
      </c>
      <c r="I1597" t="s">
        <v>492</v>
      </c>
      <c r="J1597" t="s">
        <v>493</v>
      </c>
    </row>
    <row r="1598" spans="1:10" hidden="1" x14ac:dyDescent="0.25">
      <c r="A1598" t="s">
        <v>18</v>
      </c>
      <c r="B1598" t="s">
        <v>6</v>
      </c>
      <c r="C1598" t="s">
        <v>7</v>
      </c>
      <c r="D1598" t="s">
        <v>476</v>
      </c>
      <c r="E1598" s="2">
        <v>43336.190127314818</v>
      </c>
      <c r="F1598" t="s">
        <v>590</v>
      </c>
      <c r="G1598" t="s">
        <v>429</v>
      </c>
      <c r="H1598" t="s">
        <v>455</v>
      </c>
      <c r="I1598" t="s">
        <v>494</v>
      </c>
      <c r="J1598" t="s">
        <v>492</v>
      </c>
    </row>
    <row r="1599" spans="1:10" hidden="1" x14ac:dyDescent="0.25">
      <c r="A1599" t="s">
        <v>58</v>
      </c>
      <c r="B1599" t="s">
        <v>6</v>
      </c>
      <c r="C1599" t="s">
        <v>7</v>
      </c>
      <c r="D1599" t="s">
        <v>10</v>
      </c>
      <c r="E1599" s="2">
        <v>43336.190162037034</v>
      </c>
      <c r="F1599" t="s">
        <v>300</v>
      </c>
      <c r="G1599" t="s">
        <v>462</v>
      </c>
      <c r="H1599" t="s">
        <v>459</v>
      </c>
      <c r="I1599" t="s">
        <v>552</v>
      </c>
      <c r="J1599" t="s">
        <v>568</v>
      </c>
    </row>
    <row r="1600" spans="1:10" hidden="1" x14ac:dyDescent="0.25">
      <c r="A1600" t="s">
        <v>416</v>
      </c>
      <c r="B1600" t="s">
        <v>6</v>
      </c>
      <c r="C1600" t="s">
        <v>7</v>
      </c>
      <c r="D1600" t="s">
        <v>13</v>
      </c>
      <c r="E1600" s="2">
        <v>43336.190196759257</v>
      </c>
      <c r="F1600" t="s">
        <v>591</v>
      </c>
      <c r="G1600" t="s">
        <v>318</v>
      </c>
      <c r="H1600" t="s">
        <v>435</v>
      </c>
      <c r="I1600" t="s">
        <v>554</v>
      </c>
      <c r="J1600" t="s">
        <v>556</v>
      </c>
    </row>
    <row r="1601" spans="1:10" hidden="1" x14ac:dyDescent="0.25">
      <c r="A1601" t="s">
        <v>147</v>
      </c>
      <c r="B1601" t="s">
        <v>6</v>
      </c>
      <c r="C1601" t="s">
        <v>7</v>
      </c>
      <c r="D1601" t="s">
        <v>10</v>
      </c>
      <c r="E1601" s="2">
        <v>43336.190243055556</v>
      </c>
      <c r="F1601" t="s">
        <v>303</v>
      </c>
      <c r="G1601" t="s">
        <v>429</v>
      </c>
      <c r="H1601" t="s">
        <v>323</v>
      </c>
      <c r="I1601" t="s">
        <v>498</v>
      </c>
      <c r="J1601" t="s">
        <v>498</v>
      </c>
    </row>
    <row r="1602" spans="1:10" hidden="1" x14ac:dyDescent="0.25">
      <c r="A1602" t="s">
        <v>364</v>
      </c>
      <c r="B1602" t="s">
        <v>6</v>
      </c>
      <c r="C1602" t="s">
        <v>7</v>
      </c>
      <c r="D1602" t="s">
        <v>27</v>
      </c>
      <c r="E1602" s="2">
        <v>43336.190300925926</v>
      </c>
      <c r="F1602" t="s">
        <v>586</v>
      </c>
      <c r="G1602" t="s">
        <v>318</v>
      </c>
      <c r="H1602" t="s">
        <v>448</v>
      </c>
      <c r="I1602" t="s">
        <v>490</v>
      </c>
      <c r="J1602" t="s">
        <v>491</v>
      </c>
    </row>
    <row r="1603" spans="1:10" hidden="1" x14ac:dyDescent="0.25">
      <c r="A1603" t="s">
        <v>200</v>
      </c>
      <c r="B1603" t="s">
        <v>6</v>
      </c>
      <c r="C1603" t="s">
        <v>7</v>
      </c>
      <c r="D1603" t="s">
        <v>10</v>
      </c>
      <c r="E1603" s="2">
        <v>43336.190358796295</v>
      </c>
      <c r="F1603" t="s">
        <v>302</v>
      </c>
      <c r="G1603" t="s">
        <v>455</v>
      </c>
      <c r="H1603" t="s">
        <v>448</v>
      </c>
      <c r="I1603" t="s">
        <v>498</v>
      </c>
      <c r="J1603" t="s">
        <v>498</v>
      </c>
    </row>
    <row r="1604" spans="1:10" hidden="1" x14ac:dyDescent="0.25">
      <c r="A1604" t="s">
        <v>67</v>
      </c>
      <c r="B1604" t="s">
        <v>6</v>
      </c>
      <c r="C1604" t="s">
        <v>7</v>
      </c>
      <c r="D1604" t="s">
        <v>10</v>
      </c>
      <c r="E1604" s="2">
        <v>43336.190358796295</v>
      </c>
      <c r="F1604" t="s">
        <v>299</v>
      </c>
      <c r="G1604" t="s">
        <v>318</v>
      </c>
      <c r="H1604" t="s">
        <v>441</v>
      </c>
      <c r="I1604" t="s">
        <v>492</v>
      </c>
      <c r="J1604" t="s">
        <v>546</v>
      </c>
    </row>
    <row r="1605" spans="1:10" hidden="1" x14ac:dyDescent="0.25">
      <c r="A1605" t="s">
        <v>360</v>
      </c>
      <c r="B1605" t="s">
        <v>6</v>
      </c>
      <c r="C1605" t="s">
        <v>7</v>
      </c>
      <c r="D1605" t="s">
        <v>10</v>
      </c>
      <c r="E1605" s="2">
        <v>43336.190636574072</v>
      </c>
      <c r="F1605" t="s">
        <v>587</v>
      </c>
      <c r="G1605" t="s">
        <v>458</v>
      </c>
      <c r="H1605" t="s">
        <v>459</v>
      </c>
      <c r="I1605" t="s">
        <v>490</v>
      </c>
      <c r="J1605" t="s">
        <v>491</v>
      </c>
    </row>
    <row r="1606" spans="1:10" hidden="1" x14ac:dyDescent="0.25">
      <c r="A1606" t="s">
        <v>39</v>
      </c>
      <c r="B1606" t="s">
        <v>6</v>
      </c>
      <c r="C1606" t="s">
        <v>7</v>
      </c>
      <c r="D1606" t="s">
        <v>10</v>
      </c>
      <c r="E1606" s="2">
        <v>43336.190648148149</v>
      </c>
      <c r="F1606" t="s">
        <v>585</v>
      </c>
      <c r="G1606" t="s">
        <v>318</v>
      </c>
      <c r="H1606" t="s">
        <v>440</v>
      </c>
      <c r="I1606" t="s">
        <v>494</v>
      </c>
      <c r="J1606" t="s">
        <v>495</v>
      </c>
    </row>
    <row r="1607" spans="1:10" hidden="1" x14ac:dyDescent="0.25">
      <c r="A1607" t="s">
        <v>223</v>
      </c>
      <c r="B1607" t="s">
        <v>6</v>
      </c>
      <c r="C1607" t="s">
        <v>7</v>
      </c>
      <c r="D1607" t="s">
        <v>10</v>
      </c>
      <c r="E1607" s="2">
        <v>43336.190659722219</v>
      </c>
      <c r="F1607" t="s">
        <v>298</v>
      </c>
      <c r="G1607" t="s">
        <v>318</v>
      </c>
      <c r="H1607" t="s">
        <v>438</v>
      </c>
      <c r="I1607" t="s">
        <v>509</v>
      </c>
      <c r="J1607" t="s">
        <v>510</v>
      </c>
    </row>
    <row r="1608" spans="1:10" hidden="1" x14ac:dyDescent="0.25">
      <c r="A1608" t="s">
        <v>182</v>
      </c>
      <c r="B1608" t="s">
        <v>6</v>
      </c>
      <c r="C1608" t="s">
        <v>7</v>
      </c>
      <c r="D1608" t="s">
        <v>10</v>
      </c>
      <c r="E1608" s="2">
        <v>43336.190740740742</v>
      </c>
      <c r="F1608" t="s">
        <v>590</v>
      </c>
      <c r="G1608" t="s">
        <v>429</v>
      </c>
      <c r="H1608" t="s">
        <v>456</v>
      </c>
      <c r="I1608" t="s">
        <v>494</v>
      </c>
      <c r="J1608" t="s">
        <v>492</v>
      </c>
    </row>
    <row r="1609" spans="1:10" hidden="1" x14ac:dyDescent="0.25">
      <c r="A1609" t="s">
        <v>279</v>
      </c>
      <c r="B1609" t="s">
        <v>6</v>
      </c>
      <c r="C1609" t="s">
        <v>7</v>
      </c>
      <c r="D1609" t="s">
        <v>10</v>
      </c>
      <c r="E1609" s="2">
        <v>43336.190868055557</v>
      </c>
      <c r="F1609" t="s">
        <v>303</v>
      </c>
      <c r="G1609" t="s">
        <v>429</v>
      </c>
      <c r="H1609" t="s">
        <v>385</v>
      </c>
      <c r="I1609" t="s">
        <v>498</v>
      </c>
      <c r="J1609" t="s">
        <v>498</v>
      </c>
    </row>
    <row r="1610" spans="1:10" hidden="1" x14ac:dyDescent="0.25">
      <c r="A1610" t="s">
        <v>54</v>
      </c>
      <c r="B1610" t="s">
        <v>6</v>
      </c>
      <c r="C1610" t="s">
        <v>7</v>
      </c>
      <c r="D1610" t="s">
        <v>27</v>
      </c>
      <c r="E1610" s="2">
        <v>43336.190937500003</v>
      </c>
      <c r="F1610" t="s">
        <v>300</v>
      </c>
      <c r="G1610" t="s">
        <v>462</v>
      </c>
      <c r="H1610" t="s">
        <v>460</v>
      </c>
      <c r="I1610" t="s">
        <v>552</v>
      </c>
      <c r="J1610" t="s">
        <v>568</v>
      </c>
    </row>
    <row r="1611" spans="1:10" hidden="1" x14ac:dyDescent="0.25">
      <c r="A1611" t="s">
        <v>134</v>
      </c>
      <c r="B1611" t="s">
        <v>6</v>
      </c>
      <c r="C1611" t="s">
        <v>7</v>
      </c>
      <c r="D1611" t="s">
        <v>10</v>
      </c>
      <c r="E1611" s="2">
        <v>43336.190960648149</v>
      </c>
      <c r="F1611" t="s">
        <v>302</v>
      </c>
      <c r="G1611" t="s">
        <v>455</v>
      </c>
      <c r="H1611" t="s">
        <v>449</v>
      </c>
      <c r="I1611" t="s">
        <v>498</v>
      </c>
      <c r="J1611" t="s">
        <v>498</v>
      </c>
    </row>
    <row r="1612" spans="1:10" hidden="1" x14ac:dyDescent="0.25">
      <c r="A1612" t="s">
        <v>328</v>
      </c>
      <c r="B1612" t="s">
        <v>6</v>
      </c>
      <c r="C1612" t="s">
        <v>7</v>
      </c>
      <c r="D1612" t="s">
        <v>13</v>
      </c>
      <c r="E1612" s="2">
        <v>43336.190960648149</v>
      </c>
      <c r="F1612" t="s">
        <v>591</v>
      </c>
      <c r="G1612" t="s">
        <v>318</v>
      </c>
      <c r="H1612" t="s">
        <v>436</v>
      </c>
      <c r="I1612" t="s">
        <v>554</v>
      </c>
      <c r="J1612" t="s">
        <v>497</v>
      </c>
    </row>
    <row r="1613" spans="1:10" hidden="1" x14ac:dyDescent="0.25">
      <c r="A1613" t="s">
        <v>65</v>
      </c>
      <c r="B1613" t="s">
        <v>6</v>
      </c>
      <c r="C1613" t="s">
        <v>7</v>
      </c>
      <c r="D1613" t="s">
        <v>10</v>
      </c>
      <c r="E1613" s="2">
        <v>43336.190995370373</v>
      </c>
      <c r="F1613" t="s">
        <v>299</v>
      </c>
      <c r="G1613" t="s">
        <v>318</v>
      </c>
      <c r="H1613" t="s">
        <v>442</v>
      </c>
      <c r="I1613" t="s">
        <v>492</v>
      </c>
      <c r="J1613" t="s">
        <v>546</v>
      </c>
    </row>
    <row r="1614" spans="1:10" hidden="1" x14ac:dyDescent="0.25">
      <c r="A1614" t="s">
        <v>386</v>
      </c>
      <c r="B1614" t="s">
        <v>6</v>
      </c>
      <c r="C1614" t="s">
        <v>7</v>
      </c>
      <c r="D1614" t="s">
        <v>27</v>
      </c>
      <c r="E1614" s="2">
        <v>43336.191053240742</v>
      </c>
      <c r="F1614" t="s">
        <v>586</v>
      </c>
      <c r="G1614" t="s">
        <v>318</v>
      </c>
      <c r="H1614" t="s">
        <v>449</v>
      </c>
      <c r="I1614" t="s">
        <v>490</v>
      </c>
      <c r="J1614" t="s">
        <v>491</v>
      </c>
    </row>
    <row r="1615" spans="1:10" hidden="1" x14ac:dyDescent="0.25">
      <c r="A1615" t="s">
        <v>167</v>
      </c>
      <c r="B1615" t="s">
        <v>6</v>
      </c>
      <c r="C1615" t="s">
        <v>7</v>
      </c>
      <c r="D1615" t="s">
        <v>10</v>
      </c>
      <c r="E1615" s="2">
        <v>43336.19127314815</v>
      </c>
      <c r="F1615" t="s">
        <v>298</v>
      </c>
      <c r="G1615" t="s">
        <v>318</v>
      </c>
      <c r="H1615" t="s">
        <v>439</v>
      </c>
      <c r="I1615" t="s">
        <v>492</v>
      </c>
      <c r="J1615" t="s">
        <v>493</v>
      </c>
    </row>
    <row r="1616" spans="1:10" hidden="1" x14ac:dyDescent="0.25">
      <c r="A1616" t="s">
        <v>361</v>
      </c>
      <c r="B1616" t="s">
        <v>6</v>
      </c>
      <c r="C1616" t="s">
        <v>7</v>
      </c>
      <c r="D1616" t="s">
        <v>10</v>
      </c>
      <c r="E1616" s="2">
        <v>43336.191284722219</v>
      </c>
      <c r="F1616" t="s">
        <v>587</v>
      </c>
      <c r="G1616" t="s">
        <v>458</v>
      </c>
      <c r="H1616" t="s">
        <v>460</v>
      </c>
      <c r="I1616" t="s">
        <v>490</v>
      </c>
      <c r="J1616" t="s">
        <v>491</v>
      </c>
    </row>
    <row r="1617" spans="1:10" hidden="1" x14ac:dyDescent="0.25">
      <c r="A1617" t="s">
        <v>17</v>
      </c>
      <c r="B1617" t="s">
        <v>6</v>
      </c>
      <c r="C1617" t="s">
        <v>7</v>
      </c>
      <c r="D1617" t="s">
        <v>10</v>
      </c>
      <c r="E1617" s="2">
        <v>43336.191365740742</v>
      </c>
      <c r="F1617" t="s">
        <v>590</v>
      </c>
      <c r="G1617" t="s">
        <v>429</v>
      </c>
      <c r="H1617" t="s">
        <v>426</v>
      </c>
      <c r="I1617" t="s">
        <v>494</v>
      </c>
      <c r="J1617" t="s">
        <v>492</v>
      </c>
    </row>
    <row r="1618" spans="1:10" hidden="1" x14ac:dyDescent="0.25">
      <c r="A1618" t="s">
        <v>144</v>
      </c>
      <c r="B1618" t="s">
        <v>6</v>
      </c>
      <c r="C1618" t="s">
        <v>7</v>
      </c>
      <c r="D1618" t="s">
        <v>27</v>
      </c>
      <c r="E1618" s="2">
        <v>43336.191412037035</v>
      </c>
      <c r="F1618" t="s">
        <v>585</v>
      </c>
      <c r="G1618" t="s">
        <v>318</v>
      </c>
      <c r="H1618" t="s">
        <v>441</v>
      </c>
      <c r="I1618" t="s">
        <v>494</v>
      </c>
      <c r="J1618" t="s">
        <v>495</v>
      </c>
    </row>
    <row r="1619" spans="1:10" hidden="1" x14ac:dyDescent="0.25">
      <c r="A1619" t="s">
        <v>132</v>
      </c>
      <c r="B1619" t="s">
        <v>6</v>
      </c>
      <c r="C1619" t="s">
        <v>7</v>
      </c>
      <c r="D1619" t="s">
        <v>10</v>
      </c>
      <c r="E1619" s="2">
        <v>43336.191504629627</v>
      </c>
      <c r="F1619" t="s">
        <v>303</v>
      </c>
      <c r="G1619" t="s">
        <v>429</v>
      </c>
      <c r="H1619" t="s">
        <v>457</v>
      </c>
      <c r="I1619" t="s">
        <v>498</v>
      </c>
      <c r="J1619" t="s">
        <v>498</v>
      </c>
    </row>
    <row r="1620" spans="1:10" hidden="1" x14ac:dyDescent="0.25">
      <c r="A1620" t="s">
        <v>148</v>
      </c>
      <c r="B1620" t="s">
        <v>6</v>
      </c>
      <c r="C1620" t="s">
        <v>7</v>
      </c>
      <c r="D1620" t="s">
        <v>10</v>
      </c>
      <c r="E1620" s="2">
        <v>43336.191562499997</v>
      </c>
      <c r="F1620" t="s">
        <v>302</v>
      </c>
      <c r="G1620" t="s">
        <v>455</v>
      </c>
      <c r="H1620" t="s">
        <v>450</v>
      </c>
      <c r="I1620" t="s">
        <v>498</v>
      </c>
      <c r="J1620" t="s">
        <v>498</v>
      </c>
    </row>
    <row r="1621" spans="1:10" hidden="1" x14ac:dyDescent="0.25">
      <c r="A1621" t="s">
        <v>401</v>
      </c>
      <c r="B1621" t="s">
        <v>6</v>
      </c>
      <c r="C1621" t="s">
        <v>7</v>
      </c>
      <c r="D1621" t="s">
        <v>476</v>
      </c>
      <c r="E1621" s="2">
        <v>43336.191574074073</v>
      </c>
      <c r="F1621" t="s">
        <v>591</v>
      </c>
      <c r="G1621" t="s">
        <v>318</v>
      </c>
      <c r="H1621" t="s">
        <v>437</v>
      </c>
      <c r="I1621" t="s">
        <v>554</v>
      </c>
      <c r="J1621" t="s">
        <v>497</v>
      </c>
    </row>
    <row r="1622" spans="1:10" hidden="1" x14ac:dyDescent="0.25">
      <c r="A1622" t="s">
        <v>64</v>
      </c>
      <c r="B1622" t="s">
        <v>6</v>
      </c>
      <c r="C1622" t="s">
        <v>7</v>
      </c>
      <c r="D1622" t="s">
        <v>10</v>
      </c>
      <c r="E1622" s="2">
        <v>43336.191620370373</v>
      </c>
      <c r="F1622" t="s">
        <v>299</v>
      </c>
      <c r="G1622" t="s">
        <v>318</v>
      </c>
      <c r="H1622" t="s">
        <v>443</v>
      </c>
      <c r="I1622" t="s">
        <v>492</v>
      </c>
      <c r="J1622" t="s">
        <v>557</v>
      </c>
    </row>
    <row r="1623" spans="1:10" hidden="1" x14ac:dyDescent="0.25">
      <c r="A1623" t="s">
        <v>102</v>
      </c>
      <c r="B1623" t="s">
        <v>6</v>
      </c>
      <c r="C1623" t="s">
        <v>7</v>
      </c>
      <c r="D1623" t="s">
        <v>27</v>
      </c>
      <c r="E1623" s="2">
        <v>43336.191678240742</v>
      </c>
      <c r="F1623" t="s">
        <v>300</v>
      </c>
      <c r="G1623" t="s">
        <v>462</v>
      </c>
      <c r="H1623" t="s">
        <v>461</v>
      </c>
      <c r="I1623" t="s">
        <v>533</v>
      </c>
      <c r="J1623" t="s">
        <v>543</v>
      </c>
    </row>
    <row r="1624" spans="1:10" hidden="1" x14ac:dyDescent="0.25">
      <c r="A1624" t="s">
        <v>392</v>
      </c>
      <c r="B1624" t="s">
        <v>6</v>
      </c>
      <c r="C1624" t="s">
        <v>7</v>
      </c>
      <c r="D1624" t="s">
        <v>27</v>
      </c>
      <c r="E1624" s="2">
        <v>43336.191817129627</v>
      </c>
      <c r="F1624" t="s">
        <v>586</v>
      </c>
      <c r="G1624" t="s">
        <v>318</v>
      </c>
      <c r="H1624" t="s">
        <v>450</v>
      </c>
      <c r="I1624" t="s">
        <v>490</v>
      </c>
      <c r="J1624" t="s">
        <v>491</v>
      </c>
    </row>
    <row r="1625" spans="1:10" hidden="1" x14ac:dyDescent="0.25">
      <c r="A1625" t="s">
        <v>362</v>
      </c>
      <c r="B1625" t="s">
        <v>6</v>
      </c>
      <c r="C1625" t="s">
        <v>7</v>
      </c>
      <c r="D1625" t="s">
        <v>10</v>
      </c>
      <c r="E1625" s="2">
        <v>43336.19189814815</v>
      </c>
      <c r="F1625" t="s">
        <v>587</v>
      </c>
      <c r="G1625" t="s">
        <v>458</v>
      </c>
      <c r="H1625" t="s">
        <v>461</v>
      </c>
      <c r="I1625" t="s">
        <v>490</v>
      </c>
      <c r="J1625" t="s">
        <v>491</v>
      </c>
    </row>
    <row r="1626" spans="1:10" hidden="1" x14ac:dyDescent="0.25">
      <c r="A1626" t="s">
        <v>14</v>
      </c>
      <c r="B1626" t="s">
        <v>6</v>
      </c>
      <c r="C1626" t="s">
        <v>7</v>
      </c>
      <c r="D1626" t="s">
        <v>476</v>
      </c>
      <c r="E1626" s="2">
        <v>43336.191979166666</v>
      </c>
      <c r="F1626" t="s">
        <v>590</v>
      </c>
      <c r="G1626" t="s">
        <v>429</v>
      </c>
      <c r="H1626" t="s">
        <v>427</v>
      </c>
      <c r="I1626" t="s">
        <v>511</v>
      </c>
      <c r="J1626" t="s">
        <v>540</v>
      </c>
    </row>
    <row r="1627" spans="1:10" hidden="1" x14ac:dyDescent="0.25">
      <c r="A1627" t="s">
        <v>38</v>
      </c>
      <c r="B1627" t="s">
        <v>6</v>
      </c>
      <c r="C1627" t="s">
        <v>7</v>
      </c>
      <c r="D1627" t="s">
        <v>10</v>
      </c>
      <c r="E1627" s="2">
        <v>43336.192025462966</v>
      </c>
      <c r="F1627" t="s">
        <v>585</v>
      </c>
      <c r="G1627" t="s">
        <v>318</v>
      </c>
      <c r="H1627" t="s">
        <v>442</v>
      </c>
      <c r="I1627" t="s">
        <v>494</v>
      </c>
      <c r="J1627" t="s">
        <v>495</v>
      </c>
    </row>
    <row r="1628" spans="1:10" hidden="1" x14ac:dyDescent="0.25">
      <c r="A1628" t="s">
        <v>131</v>
      </c>
      <c r="B1628" t="s">
        <v>6</v>
      </c>
      <c r="C1628" t="s">
        <v>7</v>
      </c>
      <c r="D1628" t="s">
        <v>10</v>
      </c>
      <c r="E1628" s="2">
        <v>43336.192164351851</v>
      </c>
      <c r="F1628" t="s">
        <v>303</v>
      </c>
      <c r="G1628" t="s">
        <v>429</v>
      </c>
      <c r="H1628" t="s">
        <v>458</v>
      </c>
      <c r="I1628" t="s">
        <v>498</v>
      </c>
      <c r="J1628" t="s">
        <v>498</v>
      </c>
    </row>
    <row r="1629" spans="1:10" hidden="1" x14ac:dyDescent="0.25">
      <c r="A1629" t="s">
        <v>380</v>
      </c>
      <c r="B1629" t="s">
        <v>6</v>
      </c>
      <c r="C1629" t="s">
        <v>7</v>
      </c>
      <c r="D1629" t="s">
        <v>476</v>
      </c>
      <c r="E1629" s="2">
        <v>43336.192187499997</v>
      </c>
      <c r="F1629" t="s">
        <v>591</v>
      </c>
      <c r="G1629" t="s">
        <v>318</v>
      </c>
      <c r="H1629" t="s">
        <v>438</v>
      </c>
      <c r="I1629" t="s">
        <v>554</v>
      </c>
      <c r="J1629" t="s">
        <v>497</v>
      </c>
    </row>
    <row r="1630" spans="1:10" hidden="1" x14ac:dyDescent="0.25">
      <c r="A1630" t="s">
        <v>203</v>
      </c>
      <c r="B1630" t="s">
        <v>6</v>
      </c>
      <c r="C1630" t="s">
        <v>7</v>
      </c>
      <c r="D1630" t="s">
        <v>10</v>
      </c>
      <c r="E1630" s="2">
        <v>43336.192256944443</v>
      </c>
      <c r="F1630" t="s">
        <v>299</v>
      </c>
      <c r="G1630" t="s">
        <v>318</v>
      </c>
      <c r="H1630" t="s">
        <v>444</v>
      </c>
      <c r="I1630" t="s">
        <v>560</v>
      </c>
      <c r="J1630" t="s">
        <v>561</v>
      </c>
    </row>
    <row r="1631" spans="1:10" hidden="1" x14ac:dyDescent="0.25">
      <c r="A1631" t="s">
        <v>241</v>
      </c>
      <c r="B1631" t="s">
        <v>6</v>
      </c>
      <c r="C1631" t="s">
        <v>7</v>
      </c>
      <c r="D1631" t="s">
        <v>27</v>
      </c>
      <c r="E1631" s="2">
        <v>43336.192372685182</v>
      </c>
      <c r="F1631" t="s">
        <v>302</v>
      </c>
      <c r="G1631" t="s">
        <v>455</v>
      </c>
      <c r="H1631" t="s">
        <v>451</v>
      </c>
      <c r="I1631" t="s">
        <v>498</v>
      </c>
      <c r="J1631" t="s">
        <v>498</v>
      </c>
    </row>
    <row r="1632" spans="1:10" hidden="1" x14ac:dyDescent="0.25">
      <c r="A1632" t="s">
        <v>61</v>
      </c>
      <c r="B1632" t="s">
        <v>6</v>
      </c>
      <c r="C1632" t="s">
        <v>7</v>
      </c>
      <c r="D1632" t="s">
        <v>27</v>
      </c>
      <c r="E1632" s="2">
        <v>43336.192430555559</v>
      </c>
      <c r="F1632" t="s">
        <v>300</v>
      </c>
      <c r="G1632" t="s">
        <v>462</v>
      </c>
      <c r="H1632" t="s">
        <v>462</v>
      </c>
      <c r="I1632" t="s">
        <v>533</v>
      </c>
      <c r="J1632" t="s">
        <v>543</v>
      </c>
    </row>
    <row r="1633" spans="1:10" hidden="1" x14ac:dyDescent="0.25">
      <c r="A1633" t="s">
        <v>393</v>
      </c>
      <c r="B1633" t="s">
        <v>6</v>
      </c>
      <c r="C1633" t="s">
        <v>7</v>
      </c>
      <c r="D1633" t="s">
        <v>10</v>
      </c>
      <c r="E1633" s="2">
        <v>43336.192453703705</v>
      </c>
      <c r="F1633" t="s">
        <v>586</v>
      </c>
      <c r="G1633" t="s">
        <v>318</v>
      </c>
      <c r="H1633" t="s">
        <v>451</v>
      </c>
      <c r="I1633" t="s">
        <v>490</v>
      </c>
      <c r="J1633" t="s">
        <v>491</v>
      </c>
    </row>
    <row r="1634" spans="1:10" hidden="1" x14ac:dyDescent="0.25">
      <c r="A1634" t="s">
        <v>233</v>
      </c>
      <c r="B1634" t="s">
        <v>6</v>
      </c>
      <c r="C1634" t="s">
        <v>7</v>
      </c>
      <c r="D1634" t="s">
        <v>476</v>
      </c>
      <c r="E1634" s="2">
        <v>43336.19259259259</v>
      </c>
      <c r="F1634" t="s">
        <v>590</v>
      </c>
      <c r="G1634" t="s">
        <v>429</v>
      </c>
      <c r="H1634" t="s">
        <v>428</v>
      </c>
      <c r="I1634" t="s">
        <v>511</v>
      </c>
      <c r="J1634" t="s">
        <v>537</v>
      </c>
    </row>
    <row r="1635" spans="1:10" hidden="1" x14ac:dyDescent="0.25">
      <c r="A1635" t="s">
        <v>37</v>
      </c>
      <c r="B1635" t="s">
        <v>6</v>
      </c>
      <c r="C1635" t="s">
        <v>7</v>
      </c>
      <c r="D1635" t="s">
        <v>10</v>
      </c>
      <c r="E1635" s="2">
        <v>43336.19263888889</v>
      </c>
      <c r="F1635" t="s">
        <v>585</v>
      </c>
      <c r="G1635" t="s">
        <v>318</v>
      </c>
      <c r="H1635" t="s">
        <v>443</v>
      </c>
      <c r="I1635" t="s">
        <v>494</v>
      </c>
      <c r="J1635" t="s">
        <v>495</v>
      </c>
    </row>
    <row r="1636" spans="1:10" hidden="1" x14ac:dyDescent="0.25">
      <c r="A1636" t="s">
        <v>341</v>
      </c>
      <c r="B1636" t="s">
        <v>6</v>
      </c>
      <c r="C1636" t="s">
        <v>7</v>
      </c>
      <c r="D1636" t="s">
        <v>27</v>
      </c>
      <c r="E1636" s="2">
        <v>43336.192662037036</v>
      </c>
      <c r="F1636" t="s">
        <v>587</v>
      </c>
      <c r="G1636" t="s">
        <v>458</v>
      </c>
      <c r="H1636" t="s">
        <v>462</v>
      </c>
      <c r="I1636" t="s">
        <v>490</v>
      </c>
      <c r="J1636" t="s">
        <v>491</v>
      </c>
    </row>
    <row r="1637" spans="1:10" hidden="1" x14ac:dyDescent="0.25">
      <c r="A1637" t="s">
        <v>165</v>
      </c>
      <c r="B1637" t="s">
        <v>6</v>
      </c>
      <c r="C1637" t="s">
        <v>7</v>
      </c>
      <c r="D1637" t="s">
        <v>8</v>
      </c>
      <c r="E1637" s="2">
        <v>43336.192685185182</v>
      </c>
      <c r="F1637" t="s">
        <v>298</v>
      </c>
      <c r="G1637" t="s">
        <v>318</v>
      </c>
      <c r="H1637" t="s">
        <v>440</v>
      </c>
      <c r="I1637" t="s">
        <v>492</v>
      </c>
      <c r="J1637" t="s">
        <v>493</v>
      </c>
    </row>
    <row r="1638" spans="1:10" hidden="1" x14ac:dyDescent="0.25">
      <c r="A1638" t="s">
        <v>121</v>
      </c>
      <c r="B1638" t="s">
        <v>6</v>
      </c>
      <c r="C1638" t="s">
        <v>7</v>
      </c>
      <c r="D1638" t="s">
        <v>10</v>
      </c>
      <c r="E1638" s="2">
        <v>43336.192893518521</v>
      </c>
      <c r="F1638" t="s">
        <v>299</v>
      </c>
      <c r="G1638" t="s">
        <v>318</v>
      </c>
      <c r="H1638" t="s">
        <v>445</v>
      </c>
      <c r="I1638" t="s">
        <v>558</v>
      </c>
      <c r="J1638" t="s">
        <v>559</v>
      </c>
    </row>
    <row r="1639" spans="1:10" hidden="1" x14ac:dyDescent="0.25">
      <c r="A1639" t="s">
        <v>329</v>
      </c>
      <c r="B1639" t="s">
        <v>6</v>
      </c>
      <c r="C1639" t="s">
        <v>7</v>
      </c>
      <c r="D1639" t="s">
        <v>13</v>
      </c>
      <c r="E1639" s="2">
        <v>43336.192916666667</v>
      </c>
      <c r="F1639" t="s">
        <v>591</v>
      </c>
      <c r="G1639" t="s">
        <v>318</v>
      </c>
      <c r="H1639" t="s">
        <v>439</v>
      </c>
      <c r="I1639" t="s">
        <v>554</v>
      </c>
      <c r="J1639" t="s">
        <v>497</v>
      </c>
    </row>
    <row r="1640" spans="1:10" hidden="1" x14ac:dyDescent="0.25">
      <c r="A1640" t="s">
        <v>130</v>
      </c>
      <c r="B1640" t="s">
        <v>6</v>
      </c>
      <c r="C1640" t="s">
        <v>7</v>
      </c>
      <c r="D1640" t="s">
        <v>13</v>
      </c>
      <c r="E1640" s="2">
        <v>43336.192916666667</v>
      </c>
      <c r="F1640" t="s">
        <v>303</v>
      </c>
      <c r="G1640" t="s">
        <v>429</v>
      </c>
      <c r="H1640" t="s">
        <v>459</v>
      </c>
      <c r="I1640" t="s">
        <v>494</v>
      </c>
      <c r="J1640" t="s">
        <v>544</v>
      </c>
    </row>
    <row r="1641" spans="1:10" hidden="1" x14ac:dyDescent="0.25">
      <c r="A1641" t="s">
        <v>278</v>
      </c>
      <c r="B1641" t="s">
        <v>6</v>
      </c>
      <c r="C1641" t="s">
        <v>7</v>
      </c>
      <c r="D1641" t="s">
        <v>476</v>
      </c>
      <c r="E1641" s="2">
        <v>43336.192928240744</v>
      </c>
      <c r="F1641" t="s">
        <v>302</v>
      </c>
      <c r="G1641" t="s">
        <v>455</v>
      </c>
      <c r="H1641" t="s">
        <v>452</v>
      </c>
      <c r="I1641" t="s">
        <v>498</v>
      </c>
      <c r="J1641" t="s">
        <v>498</v>
      </c>
    </row>
    <row r="1642" spans="1:10" hidden="1" x14ac:dyDescent="0.25">
      <c r="A1642" t="s">
        <v>394</v>
      </c>
      <c r="B1642" t="s">
        <v>6</v>
      </c>
      <c r="C1642" t="s">
        <v>7</v>
      </c>
      <c r="D1642" t="s">
        <v>10</v>
      </c>
      <c r="E1642" s="2">
        <v>43336.193182870367</v>
      </c>
      <c r="F1642" t="s">
        <v>586</v>
      </c>
      <c r="G1642" t="s">
        <v>318</v>
      </c>
      <c r="H1642" t="s">
        <v>452</v>
      </c>
      <c r="I1642" t="s">
        <v>490</v>
      </c>
      <c r="J1642" t="s">
        <v>491</v>
      </c>
    </row>
    <row r="1643" spans="1:10" hidden="1" x14ac:dyDescent="0.25">
      <c r="A1643" t="s">
        <v>12</v>
      </c>
      <c r="B1643" t="s">
        <v>6</v>
      </c>
      <c r="C1643" t="s">
        <v>7</v>
      </c>
      <c r="D1643" t="s">
        <v>10</v>
      </c>
      <c r="E1643" s="2">
        <v>43336.193206018521</v>
      </c>
      <c r="F1643" t="s">
        <v>590</v>
      </c>
      <c r="G1643" t="s">
        <v>429</v>
      </c>
      <c r="H1643" t="s">
        <v>429</v>
      </c>
      <c r="I1643" t="s">
        <v>494</v>
      </c>
      <c r="J1643" t="s">
        <v>492</v>
      </c>
    </row>
    <row r="1644" spans="1:10" hidden="1" x14ac:dyDescent="0.25">
      <c r="A1644" t="s">
        <v>342</v>
      </c>
      <c r="B1644" t="s">
        <v>6</v>
      </c>
      <c r="C1644" t="s">
        <v>7</v>
      </c>
      <c r="D1644" t="s">
        <v>10</v>
      </c>
      <c r="E1644" s="2">
        <v>43336.19326388889</v>
      </c>
      <c r="F1644" t="s">
        <v>587</v>
      </c>
      <c r="G1644" t="s">
        <v>458</v>
      </c>
      <c r="H1644" t="s">
        <v>453</v>
      </c>
      <c r="I1644" t="s">
        <v>490</v>
      </c>
      <c r="J1644" t="s">
        <v>491</v>
      </c>
    </row>
    <row r="1645" spans="1:10" hidden="1" x14ac:dyDescent="0.25">
      <c r="A1645" t="s">
        <v>53</v>
      </c>
      <c r="B1645" t="s">
        <v>6</v>
      </c>
      <c r="C1645" t="s">
        <v>7</v>
      </c>
      <c r="D1645" t="s">
        <v>27</v>
      </c>
      <c r="E1645" s="2">
        <v>43336.19327546296</v>
      </c>
      <c r="F1645" t="s">
        <v>300</v>
      </c>
      <c r="G1645" t="s">
        <v>462</v>
      </c>
      <c r="H1645" t="s">
        <v>453</v>
      </c>
      <c r="I1645" t="s">
        <v>533</v>
      </c>
      <c r="J1645" t="s">
        <v>543</v>
      </c>
    </row>
    <row r="1646" spans="1:10" hidden="1" x14ac:dyDescent="0.25">
      <c r="A1646" t="s">
        <v>216</v>
      </c>
      <c r="B1646" t="s">
        <v>6</v>
      </c>
      <c r="C1646" t="s">
        <v>7</v>
      </c>
      <c r="D1646" t="s">
        <v>476</v>
      </c>
      <c r="E1646" s="2">
        <v>43336.19327546296</v>
      </c>
      <c r="F1646" t="s">
        <v>585</v>
      </c>
      <c r="G1646" t="s">
        <v>318</v>
      </c>
      <c r="H1646" t="s">
        <v>444</v>
      </c>
      <c r="I1646" t="s">
        <v>494</v>
      </c>
      <c r="J1646" t="s">
        <v>495</v>
      </c>
    </row>
    <row r="1647" spans="1:10" hidden="1" x14ac:dyDescent="0.25">
      <c r="A1647" t="s">
        <v>227</v>
      </c>
      <c r="B1647" t="s">
        <v>6</v>
      </c>
      <c r="C1647" t="s">
        <v>7</v>
      </c>
      <c r="D1647" t="s">
        <v>10</v>
      </c>
      <c r="E1647" s="2">
        <v>43336.193287037036</v>
      </c>
      <c r="F1647" t="s">
        <v>298</v>
      </c>
      <c r="G1647" t="s">
        <v>318</v>
      </c>
      <c r="H1647" t="s">
        <v>441</v>
      </c>
      <c r="I1647" t="s">
        <v>492</v>
      </c>
      <c r="J1647" t="s">
        <v>493</v>
      </c>
    </row>
    <row r="1648" spans="1:10" hidden="1" x14ac:dyDescent="0.25">
      <c r="A1648" t="s">
        <v>267</v>
      </c>
      <c r="B1648" t="s">
        <v>6</v>
      </c>
      <c r="C1648" t="s">
        <v>7</v>
      </c>
      <c r="D1648" t="s">
        <v>476</v>
      </c>
      <c r="E1648" s="2">
        <v>43336.193495370368</v>
      </c>
      <c r="F1648" t="s">
        <v>302</v>
      </c>
      <c r="G1648" t="s">
        <v>455</v>
      </c>
      <c r="H1648" t="s">
        <v>318</v>
      </c>
      <c r="I1648" t="s">
        <v>498</v>
      </c>
      <c r="J1648" t="s">
        <v>498</v>
      </c>
    </row>
    <row r="1649" spans="1:10" hidden="1" x14ac:dyDescent="0.25">
      <c r="A1649" t="s">
        <v>184</v>
      </c>
      <c r="B1649" t="s">
        <v>6</v>
      </c>
      <c r="C1649" t="s">
        <v>7</v>
      </c>
      <c r="D1649" t="s">
        <v>476</v>
      </c>
      <c r="E1649" s="2">
        <v>43336.193553240744</v>
      </c>
      <c r="F1649" t="s">
        <v>303</v>
      </c>
      <c r="G1649" t="s">
        <v>429</v>
      </c>
      <c r="H1649" t="s">
        <v>460</v>
      </c>
      <c r="I1649" t="s">
        <v>494</v>
      </c>
      <c r="J1649" t="s">
        <v>544</v>
      </c>
    </row>
    <row r="1650" spans="1:10" hidden="1" x14ac:dyDescent="0.25">
      <c r="A1650" t="s">
        <v>383</v>
      </c>
      <c r="B1650" t="s">
        <v>6</v>
      </c>
      <c r="C1650" t="s">
        <v>7</v>
      </c>
      <c r="D1650" t="s">
        <v>13</v>
      </c>
      <c r="E1650" s="2">
        <v>43336.193657407406</v>
      </c>
      <c r="F1650" t="s">
        <v>591</v>
      </c>
      <c r="G1650" t="s">
        <v>318</v>
      </c>
      <c r="H1650" t="s">
        <v>440</v>
      </c>
      <c r="I1650" t="s">
        <v>554</v>
      </c>
      <c r="J1650" t="s">
        <v>497</v>
      </c>
    </row>
    <row r="1651" spans="1:10" hidden="1" x14ac:dyDescent="0.25">
      <c r="A1651" t="s">
        <v>66</v>
      </c>
      <c r="B1651" t="s">
        <v>6</v>
      </c>
      <c r="C1651" t="s">
        <v>7</v>
      </c>
      <c r="D1651" t="s">
        <v>27</v>
      </c>
      <c r="E1651" s="2">
        <v>43336.193668981483</v>
      </c>
      <c r="F1651" t="s">
        <v>299</v>
      </c>
      <c r="G1651" t="s">
        <v>318</v>
      </c>
      <c r="H1651" t="s">
        <v>446</v>
      </c>
      <c r="I1651" t="s">
        <v>558</v>
      </c>
      <c r="J1651" t="s">
        <v>559</v>
      </c>
    </row>
    <row r="1652" spans="1:10" hidden="1" x14ac:dyDescent="0.25">
      <c r="A1652" t="s">
        <v>11</v>
      </c>
      <c r="B1652" t="s">
        <v>6</v>
      </c>
      <c r="C1652" t="s">
        <v>7</v>
      </c>
      <c r="D1652" t="s">
        <v>10</v>
      </c>
      <c r="E1652" s="2">
        <v>43336.193819444445</v>
      </c>
      <c r="F1652" t="s">
        <v>590</v>
      </c>
      <c r="G1652" t="s">
        <v>429</v>
      </c>
      <c r="H1652" t="s">
        <v>430</v>
      </c>
      <c r="I1652" t="s">
        <v>494</v>
      </c>
      <c r="J1652" t="s">
        <v>533</v>
      </c>
    </row>
    <row r="1653" spans="1:10" hidden="1" x14ac:dyDescent="0.25">
      <c r="A1653" t="s">
        <v>164</v>
      </c>
      <c r="B1653" t="s">
        <v>6</v>
      </c>
      <c r="C1653" t="s">
        <v>7</v>
      </c>
      <c r="D1653" t="s">
        <v>10</v>
      </c>
      <c r="E1653" s="2">
        <v>43336.193888888891</v>
      </c>
      <c r="F1653" t="s">
        <v>298</v>
      </c>
      <c r="G1653" t="s">
        <v>318</v>
      </c>
      <c r="H1653" t="s">
        <v>442</v>
      </c>
      <c r="I1653" t="s">
        <v>492</v>
      </c>
      <c r="J1653" t="s">
        <v>493</v>
      </c>
    </row>
    <row r="1654" spans="1:10" hidden="1" x14ac:dyDescent="0.25">
      <c r="A1654" t="s">
        <v>36</v>
      </c>
      <c r="B1654" t="s">
        <v>6</v>
      </c>
      <c r="C1654" t="s">
        <v>7</v>
      </c>
      <c r="D1654" t="s">
        <v>10</v>
      </c>
      <c r="E1654" s="2">
        <v>43336.19390046296</v>
      </c>
      <c r="F1654" t="s">
        <v>585</v>
      </c>
      <c r="G1654" t="s">
        <v>318</v>
      </c>
      <c r="H1654" t="s">
        <v>445</v>
      </c>
      <c r="I1654" t="s">
        <v>494</v>
      </c>
      <c r="J1654" t="s">
        <v>495</v>
      </c>
    </row>
    <row r="1655" spans="1:10" hidden="1" x14ac:dyDescent="0.25">
      <c r="A1655" t="s">
        <v>156</v>
      </c>
      <c r="B1655" t="s">
        <v>6</v>
      </c>
      <c r="C1655" t="s">
        <v>7</v>
      </c>
      <c r="D1655" t="s">
        <v>27</v>
      </c>
      <c r="E1655" s="2">
        <v>43336.194016203706</v>
      </c>
      <c r="F1655" t="s">
        <v>300</v>
      </c>
      <c r="G1655" t="s">
        <v>462</v>
      </c>
      <c r="H1655" t="s">
        <v>454</v>
      </c>
      <c r="I1655" t="s">
        <v>533</v>
      </c>
      <c r="J1655" t="s">
        <v>543</v>
      </c>
    </row>
    <row r="1656" spans="1:10" hidden="1" x14ac:dyDescent="0.25">
      <c r="A1656" t="s">
        <v>317</v>
      </c>
      <c r="B1656" t="s">
        <v>6</v>
      </c>
      <c r="C1656" t="s">
        <v>7</v>
      </c>
      <c r="D1656" t="s">
        <v>27</v>
      </c>
      <c r="E1656" s="2">
        <v>43336.194039351853</v>
      </c>
      <c r="F1656" t="s">
        <v>587</v>
      </c>
      <c r="G1656" t="s">
        <v>458</v>
      </c>
      <c r="H1656" t="s">
        <v>454</v>
      </c>
      <c r="I1656" t="s">
        <v>490</v>
      </c>
      <c r="J1656" t="s">
        <v>491</v>
      </c>
    </row>
    <row r="1657" spans="1:10" hidden="1" x14ac:dyDescent="0.25">
      <c r="A1657" t="s">
        <v>321</v>
      </c>
      <c r="B1657" t="s">
        <v>6</v>
      </c>
      <c r="C1657" t="s">
        <v>7</v>
      </c>
      <c r="D1657" t="s">
        <v>476</v>
      </c>
      <c r="E1657" s="2">
        <v>43336.19425925926</v>
      </c>
      <c r="F1657" t="s">
        <v>591</v>
      </c>
      <c r="G1657" t="s">
        <v>318</v>
      </c>
      <c r="H1657" t="s">
        <v>441</v>
      </c>
      <c r="I1657" t="s">
        <v>554</v>
      </c>
      <c r="J1657" t="s">
        <v>497</v>
      </c>
    </row>
    <row r="1658" spans="1:10" hidden="1" x14ac:dyDescent="0.25">
      <c r="A1658" t="s">
        <v>243</v>
      </c>
      <c r="B1658" t="s">
        <v>6</v>
      </c>
      <c r="C1658" t="s">
        <v>7</v>
      </c>
      <c r="D1658" t="s">
        <v>13</v>
      </c>
      <c r="E1658" s="2">
        <v>43336.194305555553</v>
      </c>
      <c r="F1658" t="s">
        <v>303</v>
      </c>
      <c r="G1658" t="s">
        <v>429</v>
      </c>
      <c r="H1658" t="s">
        <v>461</v>
      </c>
      <c r="I1658" t="s">
        <v>494</v>
      </c>
      <c r="J1658" t="s">
        <v>544</v>
      </c>
    </row>
    <row r="1659" spans="1:10" hidden="1" x14ac:dyDescent="0.25">
      <c r="A1659" t="s">
        <v>9</v>
      </c>
      <c r="B1659" t="s">
        <v>6</v>
      </c>
      <c r="C1659" t="s">
        <v>7</v>
      </c>
      <c r="D1659" t="s">
        <v>476</v>
      </c>
      <c r="E1659" s="2">
        <v>43336.194537037038</v>
      </c>
      <c r="F1659" t="s">
        <v>590</v>
      </c>
      <c r="G1659" t="s">
        <v>429</v>
      </c>
      <c r="H1659" t="s">
        <v>431</v>
      </c>
      <c r="I1659" t="s">
        <v>494</v>
      </c>
      <c r="J1659" t="s">
        <v>533</v>
      </c>
    </row>
    <row r="1660" spans="1:10" hidden="1" x14ac:dyDescent="0.25">
      <c r="A1660" t="s">
        <v>370</v>
      </c>
      <c r="B1660" t="s">
        <v>6</v>
      </c>
      <c r="C1660" t="s">
        <v>7</v>
      </c>
      <c r="D1660" t="s">
        <v>10</v>
      </c>
      <c r="E1660" s="2">
        <v>43336.194652777776</v>
      </c>
      <c r="F1660" t="s">
        <v>587</v>
      </c>
      <c r="G1660" t="s">
        <v>458</v>
      </c>
      <c r="H1660" t="s">
        <v>455</v>
      </c>
      <c r="I1660" t="s">
        <v>490</v>
      </c>
      <c r="J1660" t="s">
        <v>491</v>
      </c>
    </row>
    <row r="1661" spans="1:10" hidden="1" x14ac:dyDescent="0.25">
      <c r="A1661" t="s">
        <v>195</v>
      </c>
      <c r="B1661" t="s">
        <v>6</v>
      </c>
      <c r="C1661" t="s">
        <v>7</v>
      </c>
      <c r="D1661" t="s">
        <v>27</v>
      </c>
      <c r="E1661" s="2">
        <v>43336.194664351853</v>
      </c>
      <c r="F1661" t="s">
        <v>585</v>
      </c>
      <c r="G1661" t="s">
        <v>318</v>
      </c>
      <c r="H1661" t="s">
        <v>446</v>
      </c>
      <c r="I1661" t="s">
        <v>494</v>
      </c>
      <c r="J1661" t="s">
        <v>495</v>
      </c>
    </row>
    <row r="1662" spans="1:10" hidden="1" x14ac:dyDescent="0.25">
      <c r="A1662" t="s">
        <v>168</v>
      </c>
      <c r="B1662" t="s">
        <v>6</v>
      </c>
      <c r="C1662" t="s">
        <v>7</v>
      </c>
      <c r="D1662" t="s">
        <v>27</v>
      </c>
      <c r="E1662" s="2">
        <v>43336.194675925923</v>
      </c>
      <c r="F1662" t="s">
        <v>298</v>
      </c>
      <c r="G1662" t="s">
        <v>318</v>
      </c>
      <c r="H1662" t="s">
        <v>443</v>
      </c>
      <c r="I1662" t="s">
        <v>492</v>
      </c>
      <c r="J1662" t="s">
        <v>500</v>
      </c>
    </row>
    <row r="1663" spans="1:10" hidden="1" x14ac:dyDescent="0.25">
      <c r="A1663" t="s">
        <v>70</v>
      </c>
      <c r="B1663" t="s">
        <v>6</v>
      </c>
      <c r="C1663" t="s">
        <v>7</v>
      </c>
      <c r="D1663" t="s">
        <v>27</v>
      </c>
      <c r="E1663" s="2">
        <v>43336.194768518515</v>
      </c>
      <c r="F1663" t="s">
        <v>300</v>
      </c>
      <c r="G1663" t="s">
        <v>462</v>
      </c>
      <c r="H1663" t="s">
        <v>455</v>
      </c>
      <c r="I1663" t="s">
        <v>533</v>
      </c>
      <c r="J1663" t="s">
        <v>543</v>
      </c>
    </row>
    <row r="1664" spans="1:10" hidden="1" x14ac:dyDescent="0.25">
      <c r="A1664" t="s">
        <v>356</v>
      </c>
      <c r="B1664" t="s">
        <v>6</v>
      </c>
      <c r="C1664" t="s">
        <v>7</v>
      </c>
      <c r="D1664" t="s">
        <v>476</v>
      </c>
      <c r="E1664" s="2">
        <v>43336.194884259261</v>
      </c>
      <c r="F1664" t="s">
        <v>591</v>
      </c>
      <c r="G1664" t="s">
        <v>318</v>
      </c>
      <c r="H1664" t="s">
        <v>442</v>
      </c>
      <c r="I1664" t="s">
        <v>554</v>
      </c>
      <c r="J1664" t="s">
        <v>497</v>
      </c>
    </row>
    <row r="1665" spans="1:10" hidden="1" x14ac:dyDescent="0.25">
      <c r="A1665" t="s">
        <v>129</v>
      </c>
      <c r="B1665" t="s">
        <v>6</v>
      </c>
      <c r="C1665" t="s">
        <v>7</v>
      </c>
      <c r="D1665" t="s">
        <v>476</v>
      </c>
      <c r="E1665" s="2">
        <v>43336.19494212963</v>
      </c>
      <c r="F1665" t="s">
        <v>303</v>
      </c>
      <c r="G1665" t="s">
        <v>429</v>
      </c>
      <c r="H1665" t="s">
        <v>462</v>
      </c>
      <c r="I1665" t="s">
        <v>494</v>
      </c>
      <c r="J1665" t="s">
        <v>544</v>
      </c>
    </row>
    <row r="1666" spans="1:10" hidden="1" x14ac:dyDescent="0.25">
      <c r="A1666" t="s">
        <v>35</v>
      </c>
      <c r="B1666" t="s">
        <v>6</v>
      </c>
      <c r="C1666" t="s">
        <v>7</v>
      </c>
      <c r="D1666" t="s">
        <v>10</v>
      </c>
      <c r="E1666" s="2">
        <v>43336.195277777777</v>
      </c>
      <c r="F1666" t="s">
        <v>585</v>
      </c>
      <c r="G1666" t="s">
        <v>318</v>
      </c>
      <c r="H1666" t="s">
        <v>447</v>
      </c>
      <c r="I1666" t="s">
        <v>494</v>
      </c>
      <c r="J1666" t="s">
        <v>495</v>
      </c>
    </row>
    <row r="1667" spans="1:10" hidden="1" x14ac:dyDescent="0.25">
      <c r="A1667" t="s">
        <v>367</v>
      </c>
      <c r="B1667" t="s">
        <v>6</v>
      </c>
      <c r="C1667" t="s">
        <v>7</v>
      </c>
      <c r="D1667" t="s">
        <v>10</v>
      </c>
      <c r="E1667" s="2">
        <v>43336.195277777777</v>
      </c>
      <c r="F1667" t="s">
        <v>587</v>
      </c>
      <c r="G1667" t="s">
        <v>458</v>
      </c>
      <c r="H1667" t="s">
        <v>456</v>
      </c>
      <c r="I1667" t="s">
        <v>490</v>
      </c>
      <c r="J1667" t="s">
        <v>491</v>
      </c>
    </row>
    <row r="1668" spans="1:10" hidden="1" x14ac:dyDescent="0.25">
      <c r="A1668" t="s">
        <v>52</v>
      </c>
      <c r="B1668" t="s">
        <v>6</v>
      </c>
      <c r="C1668" t="s">
        <v>7</v>
      </c>
      <c r="D1668" t="s">
        <v>10</v>
      </c>
      <c r="E1668" s="2">
        <v>43336.195381944446</v>
      </c>
      <c r="F1668" t="s">
        <v>300</v>
      </c>
      <c r="G1668" t="s">
        <v>462</v>
      </c>
      <c r="H1668" t="s">
        <v>456</v>
      </c>
      <c r="I1668" t="s">
        <v>533</v>
      </c>
      <c r="J1668" t="s">
        <v>543</v>
      </c>
    </row>
    <row r="1669" spans="1:10" hidden="1" x14ac:dyDescent="0.25">
      <c r="A1669" t="s">
        <v>5</v>
      </c>
      <c r="B1669" t="s">
        <v>6</v>
      </c>
      <c r="C1669" t="s">
        <v>7</v>
      </c>
      <c r="D1669" t="s">
        <v>13</v>
      </c>
      <c r="E1669" s="2">
        <v>43336.195381944446</v>
      </c>
      <c r="F1669" t="s">
        <v>590</v>
      </c>
      <c r="G1669" t="s">
        <v>429</v>
      </c>
      <c r="H1669" t="s">
        <v>432</v>
      </c>
      <c r="I1669" t="s">
        <v>513</v>
      </c>
      <c r="J1669" t="s">
        <v>513</v>
      </c>
    </row>
    <row r="1670" spans="1:10" hidden="1" x14ac:dyDescent="0.25">
      <c r="A1670" t="s">
        <v>425</v>
      </c>
      <c r="B1670" t="s">
        <v>6</v>
      </c>
      <c r="C1670" t="s">
        <v>7</v>
      </c>
      <c r="D1670" t="s">
        <v>13</v>
      </c>
      <c r="E1670" s="2">
        <v>43336.195625</v>
      </c>
      <c r="F1670" t="s">
        <v>591</v>
      </c>
      <c r="G1670" t="s">
        <v>318</v>
      </c>
      <c r="H1670" t="s">
        <v>443</v>
      </c>
      <c r="I1670" t="s">
        <v>554</v>
      </c>
      <c r="J1670" t="s">
        <v>497</v>
      </c>
    </row>
    <row r="1671" spans="1:10" hidden="1" x14ac:dyDescent="0.25">
      <c r="A1671" t="s">
        <v>136</v>
      </c>
      <c r="B1671" t="s">
        <v>6</v>
      </c>
      <c r="C1671" t="s">
        <v>7</v>
      </c>
      <c r="D1671" t="s">
        <v>13</v>
      </c>
      <c r="E1671" s="2">
        <v>43336.195694444446</v>
      </c>
      <c r="F1671" t="s">
        <v>303</v>
      </c>
      <c r="G1671" t="s">
        <v>429</v>
      </c>
      <c r="H1671" t="s">
        <v>453</v>
      </c>
      <c r="I1671" t="s">
        <v>494</v>
      </c>
      <c r="J1671" t="s">
        <v>544</v>
      </c>
    </row>
    <row r="1672" spans="1:10" hidden="1" x14ac:dyDescent="0.25">
      <c r="A1672" t="s">
        <v>389</v>
      </c>
      <c r="B1672" t="s">
        <v>6</v>
      </c>
      <c r="C1672" t="s">
        <v>7</v>
      </c>
      <c r="D1672" t="s">
        <v>10</v>
      </c>
      <c r="E1672" s="2">
        <v>43336.195810185185</v>
      </c>
      <c r="F1672" t="s">
        <v>586</v>
      </c>
      <c r="G1672" t="s">
        <v>318</v>
      </c>
      <c r="H1672" t="s">
        <v>318</v>
      </c>
      <c r="I1672" t="s">
        <v>490</v>
      </c>
      <c r="J1672" t="s">
        <v>497</v>
      </c>
    </row>
    <row r="1673" spans="1:10" hidden="1" x14ac:dyDescent="0.25">
      <c r="A1673" t="s">
        <v>368</v>
      </c>
      <c r="B1673" t="s">
        <v>6</v>
      </c>
      <c r="C1673" t="s">
        <v>7</v>
      </c>
      <c r="D1673" t="s">
        <v>10</v>
      </c>
      <c r="E1673" s="2">
        <v>43336.195891203701</v>
      </c>
      <c r="F1673" t="s">
        <v>587</v>
      </c>
      <c r="G1673" t="s">
        <v>458</v>
      </c>
      <c r="H1673" t="s">
        <v>426</v>
      </c>
      <c r="I1673" t="s">
        <v>490</v>
      </c>
      <c r="J1673" t="s">
        <v>491</v>
      </c>
    </row>
    <row r="1674" spans="1:10" hidden="1" x14ac:dyDescent="0.25">
      <c r="A1674" t="s">
        <v>34</v>
      </c>
      <c r="B1674" t="s">
        <v>6</v>
      </c>
      <c r="C1674" t="s">
        <v>7</v>
      </c>
      <c r="D1674" t="s">
        <v>476</v>
      </c>
      <c r="E1674" s="2">
        <v>43336.195914351854</v>
      </c>
      <c r="F1674" t="s">
        <v>585</v>
      </c>
      <c r="G1674" t="s">
        <v>318</v>
      </c>
      <c r="H1674" t="s">
        <v>448</v>
      </c>
      <c r="I1674" t="s">
        <v>494</v>
      </c>
      <c r="J1674" t="s">
        <v>495</v>
      </c>
    </row>
    <row r="1675" spans="1:10" hidden="1" x14ac:dyDescent="0.25">
      <c r="A1675" t="s">
        <v>51</v>
      </c>
      <c r="B1675" t="s">
        <v>6</v>
      </c>
      <c r="C1675" t="s">
        <v>7</v>
      </c>
      <c r="D1675" t="s">
        <v>10</v>
      </c>
      <c r="E1675" s="2">
        <v>43336.19599537037</v>
      </c>
      <c r="F1675" t="s">
        <v>300</v>
      </c>
      <c r="G1675" t="s">
        <v>462</v>
      </c>
      <c r="H1675" t="s">
        <v>426</v>
      </c>
      <c r="I1675" t="s">
        <v>533</v>
      </c>
      <c r="J1675" t="s">
        <v>543</v>
      </c>
    </row>
    <row r="1676" spans="1:10" hidden="1" x14ac:dyDescent="0.25">
      <c r="A1676" t="s">
        <v>163</v>
      </c>
      <c r="B1676" t="s">
        <v>6</v>
      </c>
      <c r="C1676" t="s">
        <v>7</v>
      </c>
      <c r="D1676" t="s">
        <v>8</v>
      </c>
      <c r="E1676" s="2">
        <v>43336.196087962962</v>
      </c>
      <c r="F1676" t="s">
        <v>298</v>
      </c>
      <c r="G1676" t="s">
        <v>318</v>
      </c>
      <c r="H1676" t="s">
        <v>444</v>
      </c>
      <c r="I1676" t="s">
        <v>492</v>
      </c>
      <c r="J1676" t="s">
        <v>493</v>
      </c>
    </row>
    <row r="1677" spans="1:10" hidden="1" x14ac:dyDescent="0.25">
      <c r="A1677" t="s">
        <v>283</v>
      </c>
      <c r="B1677" t="s">
        <v>6</v>
      </c>
      <c r="C1677" t="s">
        <v>7</v>
      </c>
      <c r="D1677" t="s">
        <v>13</v>
      </c>
      <c r="E1677" s="2">
        <v>43336.196134259262</v>
      </c>
      <c r="F1677" t="s">
        <v>590</v>
      </c>
      <c r="G1677" t="s">
        <v>429</v>
      </c>
      <c r="H1677" t="s">
        <v>433</v>
      </c>
      <c r="I1677" t="s">
        <v>513</v>
      </c>
      <c r="J1677" t="s">
        <v>513</v>
      </c>
    </row>
    <row r="1678" spans="1:10" hidden="1" x14ac:dyDescent="0.25">
      <c r="A1678" t="s">
        <v>330</v>
      </c>
      <c r="B1678" t="s">
        <v>6</v>
      </c>
      <c r="C1678" t="s">
        <v>7</v>
      </c>
      <c r="D1678" t="s">
        <v>13</v>
      </c>
      <c r="E1678" s="2">
        <v>43336.196377314816</v>
      </c>
      <c r="F1678" t="s">
        <v>591</v>
      </c>
      <c r="G1678" t="s">
        <v>318</v>
      </c>
      <c r="H1678" t="s">
        <v>444</v>
      </c>
      <c r="I1678" t="s">
        <v>554</v>
      </c>
      <c r="J1678" t="s">
        <v>497</v>
      </c>
    </row>
    <row r="1679" spans="1:10" hidden="1" x14ac:dyDescent="0.25">
      <c r="A1679" t="s">
        <v>60</v>
      </c>
      <c r="B1679" t="s">
        <v>306</v>
      </c>
      <c r="C1679" t="s">
        <v>306</v>
      </c>
      <c r="D1679" t="s">
        <v>307</v>
      </c>
      <c r="E1679" s="2">
        <v>43336.196458333332</v>
      </c>
      <c r="F1679" t="s">
        <v>299</v>
      </c>
      <c r="G1679" t="s">
        <v>318</v>
      </c>
      <c r="H1679" t="s">
        <v>447</v>
      </c>
      <c r="I1679" t="s">
        <v>558</v>
      </c>
      <c r="J1679" t="s">
        <v>559</v>
      </c>
    </row>
    <row r="1680" spans="1:10" hidden="1" x14ac:dyDescent="0.25">
      <c r="A1680" t="s">
        <v>397</v>
      </c>
      <c r="B1680" t="s">
        <v>6</v>
      </c>
      <c r="C1680" t="s">
        <v>7</v>
      </c>
      <c r="D1680" t="s">
        <v>10</v>
      </c>
      <c r="E1680" s="2">
        <v>43336.196458333332</v>
      </c>
      <c r="F1680" t="s">
        <v>586</v>
      </c>
      <c r="G1680" t="s">
        <v>318</v>
      </c>
      <c r="H1680" t="s">
        <v>323</v>
      </c>
      <c r="I1680" t="s">
        <v>490</v>
      </c>
      <c r="J1680" t="s">
        <v>491</v>
      </c>
    </row>
    <row r="1681" spans="1:10" hidden="1" x14ac:dyDescent="0.25">
      <c r="A1681" t="s">
        <v>280</v>
      </c>
      <c r="B1681" t="s">
        <v>6</v>
      </c>
      <c r="C1681" t="s">
        <v>7</v>
      </c>
      <c r="D1681" t="s">
        <v>13</v>
      </c>
      <c r="E1681" s="2">
        <v>43336.196469907409</v>
      </c>
      <c r="F1681" t="s">
        <v>303</v>
      </c>
      <c r="G1681" t="s">
        <v>429</v>
      </c>
      <c r="H1681" t="s">
        <v>454</v>
      </c>
      <c r="I1681" t="s">
        <v>494</v>
      </c>
      <c r="J1681" t="s">
        <v>544</v>
      </c>
    </row>
    <row r="1682" spans="1:10" hidden="1" x14ac:dyDescent="0.25">
      <c r="A1682" t="s">
        <v>33</v>
      </c>
      <c r="B1682" t="s">
        <v>6</v>
      </c>
      <c r="C1682" t="s">
        <v>7</v>
      </c>
      <c r="D1682" t="s">
        <v>10</v>
      </c>
      <c r="E1682" s="2">
        <v>43336.196539351855</v>
      </c>
      <c r="F1682" t="s">
        <v>585</v>
      </c>
      <c r="G1682" t="s">
        <v>318</v>
      </c>
      <c r="H1682" t="s">
        <v>449</v>
      </c>
      <c r="I1682" t="s">
        <v>494</v>
      </c>
      <c r="J1682" t="s">
        <v>495</v>
      </c>
    </row>
    <row r="1683" spans="1:10" hidden="1" x14ac:dyDescent="0.25">
      <c r="A1683" t="s">
        <v>371</v>
      </c>
      <c r="B1683" t="s">
        <v>6</v>
      </c>
      <c r="C1683" t="s">
        <v>7</v>
      </c>
      <c r="D1683" t="s">
        <v>27</v>
      </c>
      <c r="E1683" s="2">
        <v>43336.196655092594</v>
      </c>
      <c r="F1683" t="s">
        <v>587</v>
      </c>
      <c r="G1683" t="s">
        <v>458</v>
      </c>
      <c r="H1683" t="s">
        <v>427</v>
      </c>
      <c r="I1683" t="s">
        <v>490</v>
      </c>
      <c r="J1683" t="s">
        <v>491</v>
      </c>
    </row>
    <row r="1684" spans="1:10" hidden="1" x14ac:dyDescent="0.25">
      <c r="A1684" t="s">
        <v>90</v>
      </c>
      <c r="B1684" t="s">
        <v>6</v>
      </c>
      <c r="C1684" t="s">
        <v>7</v>
      </c>
      <c r="D1684" t="s">
        <v>27</v>
      </c>
      <c r="E1684" s="2">
        <v>43336.196747685186</v>
      </c>
      <c r="F1684" t="s">
        <v>300</v>
      </c>
      <c r="G1684" t="s">
        <v>462</v>
      </c>
      <c r="H1684" t="s">
        <v>427</v>
      </c>
      <c r="I1684" t="s">
        <v>533</v>
      </c>
      <c r="J1684" t="s">
        <v>543</v>
      </c>
    </row>
    <row r="1685" spans="1:10" hidden="1" x14ac:dyDescent="0.25">
      <c r="A1685" t="s">
        <v>86</v>
      </c>
      <c r="B1685" t="s">
        <v>6</v>
      </c>
      <c r="C1685" t="s">
        <v>7</v>
      </c>
      <c r="D1685" t="s">
        <v>476</v>
      </c>
      <c r="E1685" s="2">
        <v>43336.196770833332</v>
      </c>
      <c r="F1685" t="s">
        <v>590</v>
      </c>
      <c r="G1685" t="s">
        <v>429</v>
      </c>
      <c r="H1685" t="s">
        <v>434</v>
      </c>
      <c r="I1685" t="s">
        <v>513</v>
      </c>
      <c r="J1685" t="s">
        <v>513</v>
      </c>
    </row>
    <row r="1686" spans="1:10" hidden="1" x14ac:dyDescent="0.25">
      <c r="A1686" t="s">
        <v>218</v>
      </c>
      <c r="B1686" t="s">
        <v>6</v>
      </c>
      <c r="C1686" t="s">
        <v>7</v>
      </c>
      <c r="D1686" t="s">
        <v>27</v>
      </c>
      <c r="E1686" s="2">
        <v>43336.196817129632</v>
      </c>
      <c r="F1686" t="s">
        <v>298</v>
      </c>
      <c r="G1686" t="s">
        <v>318</v>
      </c>
      <c r="H1686" t="s">
        <v>445</v>
      </c>
      <c r="I1686" t="s">
        <v>492</v>
      </c>
      <c r="J1686" t="s">
        <v>493</v>
      </c>
    </row>
    <row r="1687" spans="1:10" hidden="1" x14ac:dyDescent="0.25">
      <c r="A1687" t="s">
        <v>422</v>
      </c>
      <c r="B1687" t="s">
        <v>6</v>
      </c>
      <c r="C1687" t="s">
        <v>7</v>
      </c>
      <c r="D1687" t="s">
        <v>13</v>
      </c>
      <c r="E1687" s="2">
        <v>43336.197129629632</v>
      </c>
      <c r="F1687" t="s">
        <v>591</v>
      </c>
      <c r="G1687" t="s">
        <v>318</v>
      </c>
      <c r="H1687" t="s">
        <v>445</v>
      </c>
      <c r="I1687" t="s">
        <v>554</v>
      </c>
      <c r="J1687" t="s">
        <v>497</v>
      </c>
    </row>
    <row r="1688" spans="1:10" hidden="1" x14ac:dyDescent="0.25">
      <c r="A1688" t="s">
        <v>32</v>
      </c>
      <c r="B1688" t="s">
        <v>6</v>
      </c>
      <c r="C1688" t="s">
        <v>7</v>
      </c>
      <c r="D1688" t="s">
        <v>476</v>
      </c>
      <c r="E1688" s="2">
        <v>43336.197187500002</v>
      </c>
      <c r="F1688" t="s">
        <v>585</v>
      </c>
      <c r="G1688" t="s">
        <v>318</v>
      </c>
      <c r="H1688" t="s">
        <v>450</v>
      </c>
      <c r="I1688" t="s">
        <v>494</v>
      </c>
      <c r="J1688" t="s">
        <v>495</v>
      </c>
    </row>
    <row r="1689" spans="1:10" hidden="1" x14ac:dyDescent="0.25">
      <c r="A1689" t="s">
        <v>398</v>
      </c>
      <c r="B1689" t="s">
        <v>6</v>
      </c>
      <c r="C1689" t="s">
        <v>7</v>
      </c>
      <c r="D1689" t="s">
        <v>27</v>
      </c>
      <c r="E1689" s="2">
        <v>43336.197222222225</v>
      </c>
      <c r="F1689" t="s">
        <v>586</v>
      </c>
      <c r="G1689" t="s">
        <v>318</v>
      </c>
      <c r="H1689" t="s">
        <v>385</v>
      </c>
      <c r="I1689" t="s">
        <v>490</v>
      </c>
      <c r="J1689" t="s">
        <v>491</v>
      </c>
    </row>
    <row r="1690" spans="1:10" hidden="1" x14ac:dyDescent="0.25">
      <c r="A1690" t="s">
        <v>128</v>
      </c>
      <c r="B1690" t="s">
        <v>6</v>
      </c>
      <c r="C1690" t="s">
        <v>7</v>
      </c>
      <c r="D1690" t="s">
        <v>13</v>
      </c>
      <c r="E1690" s="2">
        <v>43336.197245370371</v>
      </c>
      <c r="F1690" t="s">
        <v>303</v>
      </c>
      <c r="G1690" t="s">
        <v>429</v>
      </c>
      <c r="H1690" t="s">
        <v>455</v>
      </c>
      <c r="I1690" t="s">
        <v>494</v>
      </c>
      <c r="J1690" t="s">
        <v>544</v>
      </c>
    </row>
    <row r="1691" spans="1:10" hidden="1" x14ac:dyDescent="0.25">
      <c r="A1691" t="s">
        <v>372</v>
      </c>
      <c r="B1691" t="s">
        <v>6</v>
      </c>
      <c r="C1691" t="s">
        <v>7</v>
      </c>
      <c r="D1691" t="s">
        <v>10</v>
      </c>
      <c r="E1691" s="2">
        <v>43336.197280092594</v>
      </c>
      <c r="F1691" t="s">
        <v>587</v>
      </c>
      <c r="G1691" t="s">
        <v>458</v>
      </c>
      <c r="H1691" t="s">
        <v>428</v>
      </c>
      <c r="I1691" t="s">
        <v>490</v>
      </c>
      <c r="J1691" t="s">
        <v>491</v>
      </c>
    </row>
    <row r="1692" spans="1:10" hidden="1" x14ac:dyDescent="0.25">
      <c r="A1692" t="s">
        <v>162</v>
      </c>
      <c r="B1692" t="s">
        <v>6</v>
      </c>
      <c r="C1692" t="s">
        <v>7</v>
      </c>
      <c r="D1692" t="s">
        <v>10</v>
      </c>
      <c r="E1692" s="2">
        <v>43336.197430555556</v>
      </c>
      <c r="F1692" t="s">
        <v>298</v>
      </c>
      <c r="G1692" t="s">
        <v>318</v>
      </c>
      <c r="H1692" t="s">
        <v>446</v>
      </c>
      <c r="I1692" t="s">
        <v>492</v>
      </c>
      <c r="J1692" t="s">
        <v>493</v>
      </c>
    </row>
    <row r="1693" spans="1:10" hidden="1" x14ac:dyDescent="0.25">
      <c r="A1693" t="s">
        <v>106</v>
      </c>
      <c r="B1693" t="s">
        <v>6</v>
      </c>
      <c r="C1693" t="s">
        <v>7</v>
      </c>
      <c r="D1693" t="s">
        <v>27</v>
      </c>
      <c r="E1693" s="2">
        <v>43336.197488425925</v>
      </c>
      <c r="F1693" t="s">
        <v>300</v>
      </c>
      <c r="G1693" t="s">
        <v>462</v>
      </c>
      <c r="H1693" t="s">
        <v>428</v>
      </c>
      <c r="I1693" t="s">
        <v>533</v>
      </c>
      <c r="J1693" t="s">
        <v>543</v>
      </c>
    </row>
    <row r="1694" spans="1:10" hidden="1" x14ac:dyDescent="0.25">
      <c r="A1694" t="s">
        <v>116</v>
      </c>
      <c r="B1694" t="s">
        <v>6</v>
      </c>
      <c r="C1694" t="s">
        <v>7</v>
      </c>
      <c r="D1694" t="s">
        <v>13</v>
      </c>
      <c r="E1694" s="2">
        <v>43336.197523148148</v>
      </c>
      <c r="F1694" t="s">
        <v>590</v>
      </c>
      <c r="G1694" t="s">
        <v>429</v>
      </c>
      <c r="H1694" t="s">
        <v>435</v>
      </c>
      <c r="I1694" t="s">
        <v>513</v>
      </c>
      <c r="J1694" t="s">
        <v>513</v>
      </c>
    </row>
    <row r="1695" spans="1:10" hidden="1" x14ac:dyDescent="0.25">
      <c r="A1695" t="s">
        <v>296</v>
      </c>
      <c r="B1695" t="s">
        <v>6</v>
      </c>
      <c r="C1695" t="s">
        <v>7</v>
      </c>
      <c r="D1695" t="s">
        <v>476</v>
      </c>
      <c r="E1695" s="2">
        <v>43336.197824074072</v>
      </c>
      <c r="F1695" t="s">
        <v>585</v>
      </c>
      <c r="G1695" t="s">
        <v>318</v>
      </c>
      <c r="H1695" t="s">
        <v>451</v>
      </c>
      <c r="I1695" t="s">
        <v>494</v>
      </c>
      <c r="J1695" t="s">
        <v>495</v>
      </c>
    </row>
    <row r="1696" spans="1:10" hidden="1" x14ac:dyDescent="0.25">
      <c r="A1696" t="s">
        <v>399</v>
      </c>
      <c r="B1696" t="s">
        <v>6</v>
      </c>
      <c r="C1696" t="s">
        <v>7</v>
      </c>
      <c r="D1696" t="s">
        <v>10</v>
      </c>
      <c r="E1696" s="2">
        <v>43336.197847222225</v>
      </c>
      <c r="F1696" t="s">
        <v>586</v>
      </c>
      <c r="G1696" t="s">
        <v>318</v>
      </c>
      <c r="H1696" t="s">
        <v>457</v>
      </c>
      <c r="I1696" t="s">
        <v>490</v>
      </c>
      <c r="J1696" t="s">
        <v>491</v>
      </c>
    </row>
    <row r="1697" spans="1:10" hidden="1" x14ac:dyDescent="0.25">
      <c r="A1697" t="s">
        <v>388</v>
      </c>
      <c r="B1697" t="s">
        <v>6</v>
      </c>
      <c r="C1697" t="s">
        <v>7</v>
      </c>
      <c r="D1697" t="s">
        <v>13</v>
      </c>
      <c r="E1697" s="2">
        <v>43336.197881944441</v>
      </c>
      <c r="F1697" t="s">
        <v>591</v>
      </c>
      <c r="G1697" t="s">
        <v>318</v>
      </c>
      <c r="H1697" t="s">
        <v>446</v>
      </c>
      <c r="I1697" t="s">
        <v>554</v>
      </c>
      <c r="J1697" t="s">
        <v>497</v>
      </c>
    </row>
    <row r="1698" spans="1:10" hidden="1" x14ac:dyDescent="0.25">
      <c r="A1698" t="s">
        <v>373</v>
      </c>
      <c r="B1698" t="s">
        <v>6</v>
      </c>
      <c r="C1698" t="s">
        <v>7</v>
      </c>
      <c r="D1698" t="s">
        <v>10</v>
      </c>
      <c r="E1698" s="2">
        <v>43336.198020833333</v>
      </c>
      <c r="F1698" t="s">
        <v>587</v>
      </c>
      <c r="G1698" t="s">
        <v>458</v>
      </c>
      <c r="H1698" t="s">
        <v>429</v>
      </c>
      <c r="I1698" t="s">
        <v>563</v>
      </c>
      <c r="J1698" t="s">
        <v>491</v>
      </c>
    </row>
    <row r="1699" spans="1:10" hidden="1" x14ac:dyDescent="0.25">
      <c r="A1699" t="s">
        <v>50</v>
      </c>
      <c r="B1699" t="s">
        <v>6</v>
      </c>
      <c r="C1699" t="s">
        <v>7</v>
      </c>
      <c r="D1699" t="s">
        <v>10</v>
      </c>
      <c r="E1699" s="2">
        <v>43336.198125000003</v>
      </c>
      <c r="F1699" t="s">
        <v>300</v>
      </c>
      <c r="G1699" t="s">
        <v>462</v>
      </c>
      <c r="H1699" t="s">
        <v>429</v>
      </c>
      <c r="I1699" t="s">
        <v>533</v>
      </c>
      <c r="J1699" t="s">
        <v>543</v>
      </c>
    </row>
    <row r="1700" spans="1:10" hidden="1" x14ac:dyDescent="0.25">
      <c r="A1700" t="s">
        <v>126</v>
      </c>
      <c r="B1700" t="s">
        <v>6</v>
      </c>
      <c r="C1700" t="s">
        <v>7</v>
      </c>
      <c r="D1700" t="s">
        <v>13</v>
      </c>
      <c r="E1700" s="2">
        <v>43336.198136574072</v>
      </c>
      <c r="F1700" t="s">
        <v>303</v>
      </c>
      <c r="G1700" t="s">
        <v>429</v>
      </c>
      <c r="H1700" t="s">
        <v>456</v>
      </c>
      <c r="I1700" t="s">
        <v>494</v>
      </c>
      <c r="J1700" t="s">
        <v>544</v>
      </c>
    </row>
    <row r="1701" spans="1:10" hidden="1" x14ac:dyDescent="0.25">
      <c r="A1701" t="s">
        <v>85</v>
      </c>
      <c r="B1701" t="s">
        <v>6</v>
      </c>
      <c r="C1701" t="s">
        <v>7</v>
      </c>
      <c r="D1701" t="s">
        <v>476</v>
      </c>
      <c r="E1701" s="2">
        <v>43336.198148148149</v>
      </c>
      <c r="F1701" t="s">
        <v>590</v>
      </c>
      <c r="G1701" t="s">
        <v>429</v>
      </c>
      <c r="H1701" t="s">
        <v>436</v>
      </c>
      <c r="I1701" t="s">
        <v>513</v>
      </c>
      <c r="J1701" t="s">
        <v>513</v>
      </c>
    </row>
    <row r="1702" spans="1:10" hidden="1" x14ac:dyDescent="0.25">
      <c r="A1702" t="s">
        <v>404</v>
      </c>
      <c r="B1702" t="s">
        <v>6</v>
      </c>
      <c r="C1702" t="s">
        <v>7</v>
      </c>
      <c r="D1702" t="s">
        <v>10</v>
      </c>
      <c r="E1702" s="2">
        <v>43336.198460648149</v>
      </c>
      <c r="F1702" t="s">
        <v>586</v>
      </c>
      <c r="G1702" t="s">
        <v>318</v>
      </c>
      <c r="H1702" t="s">
        <v>458</v>
      </c>
      <c r="I1702" t="s">
        <v>490</v>
      </c>
      <c r="J1702" t="s">
        <v>491</v>
      </c>
    </row>
    <row r="1703" spans="1:10" hidden="1" x14ac:dyDescent="0.25">
      <c r="A1703" t="s">
        <v>31</v>
      </c>
      <c r="B1703" t="s">
        <v>6</v>
      </c>
      <c r="C1703" t="s">
        <v>7</v>
      </c>
      <c r="D1703" t="s">
        <v>476</v>
      </c>
      <c r="E1703" s="2">
        <v>43336.198472222219</v>
      </c>
      <c r="F1703" t="s">
        <v>585</v>
      </c>
      <c r="G1703" t="s">
        <v>318</v>
      </c>
      <c r="H1703" t="s">
        <v>452</v>
      </c>
      <c r="I1703" t="s">
        <v>494</v>
      </c>
      <c r="J1703" t="s">
        <v>495</v>
      </c>
    </row>
    <row r="1704" spans="1:10" hidden="1" x14ac:dyDescent="0.25">
      <c r="A1704" t="s">
        <v>333</v>
      </c>
      <c r="B1704" t="s">
        <v>6</v>
      </c>
      <c r="C1704" t="s">
        <v>7</v>
      </c>
      <c r="D1704" t="s">
        <v>13</v>
      </c>
      <c r="E1704" s="2">
        <v>43336.198611111111</v>
      </c>
      <c r="F1704" t="s">
        <v>591</v>
      </c>
      <c r="G1704" t="s">
        <v>318</v>
      </c>
      <c r="H1704" t="s">
        <v>447</v>
      </c>
      <c r="I1704" t="s">
        <v>554</v>
      </c>
      <c r="J1704" t="s">
        <v>497</v>
      </c>
    </row>
    <row r="1705" spans="1:10" hidden="1" x14ac:dyDescent="0.25">
      <c r="A1705" t="s">
        <v>374</v>
      </c>
      <c r="B1705" t="s">
        <v>6</v>
      </c>
      <c r="C1705" t="s">
        <v>7</v>
      </c>
      <c r="D1705" t="s">
        <v>10</v>
      </c>
      <c r="E1705" s="2">
        <v>43336.198645833334</v>
      </c>
      <c r="F1705" t="s">
        <v>587</v>
      </c>
      <c r="G1705" t="s">
        <v>458</v>
      </c>
      <c r="H1705" t="s">
        <v>430</v>
      </c>
      <c r="I1705" t="s">
        <v>564</v>
      </c>
      <c r="J1705" t="s">
        <v>491</v>
      </c>
    </row>
    <row r="1706" spans="1:10" hidden="1" x14ac:dyDescent="0.25">
      <c r="A1706" t="s">
        <v>49</v>
      </c>
      <c r="B1706" t="s">
        <v>6</v>
      </c>
      <c r="C1706" t="s">
        <v>7</v>
      </c>
      <c r="D1706" t="s">
        <v>10</v>
      </c>
      <c r="E1706" s="2">
        <v>43336.19872685185</v>
      </c>
      <c r="F1706" t="s">
        <v>300</v>
      </c>
      <c r="G1706" t="s">
        <v>462</v>
      </c>
      <c r="H1706" t="s">
        <v>430</v>
      </c>
      <c r="I1706" t="s">
        <v>533</v>
      </c>
      <c r="J1706" t="s">
        <v>543</v>
      </c>
    </row>
    <row r="1707" spans="1:10" hidden="1" x14ac:dyDescent="0.25">
      <c r="A1707" t="s">
        <v>84</v>
      </c>
      <c r="B1707" t="s">
        <v>6</v>
      </c>
      <c r="C1707" t="s">
        <v>7</v>
      </c>
      <c r="D1707" t="s">
        <v>10</v>
      </c>
      <c r="E1707" s="2">
        <v>43336.198784722219</v>
      </c>
      <c r="F1707" t="s">
        <v>590</v>
      </c>
      <c r="G1707" t="s">
        <v>429</v>
      </c>
      <c r="H1707" t="s">
        <v>437</v>
      </c>
      <c r="I1707" t="s">
        <v>513</v>
      </c>
      <c r="J1707" t="s">
        <v>513</v>
      </c>
    </row>
    <row r="1708" spans="1:10" hidden="1" x14ac:dyDescent="0.25">
      <c r="A1708" t="s">
        <v>125</v>
      </c>
      <c r="B1708" t="s">
        <v>6</v>
      </c>
      <c r="C1708" t="s">
        <v>7</v>
      </c>
      <c r="D1708" t="s">
        <v>476</v>
      </c>
      <c r="E1708" s="2">
        <v>43336.198784722219</v>
      </c>
      <c r="F1708" t="s">
        <v>303</v>
      </c>
      <c r="G1708" t="s">
        <v>429</v>
      </c>
      <c r="H1708" t="s">
        <v>426</v>
      </c>
      <c r="I1708" t="s">
        <v>494</v>
      </c>
      <c r="J1708" t="s">
        <v>544</v>
      </c>
    </row>
    <row r="1709" spans="1:10" hidden="1" x14ac:dyDescent="0.25">
      <c r="A1709" t="s">
        <v>221</v>
      </c>
      <c r="B1709" t="s">
        <v>6</v>
      </c>
      <c r="C1709" t="s">
        <v>7</v>
      </c>
      <c r="D1709" t="s">
        <v>8</v>
      </c>
      <c r="E1709" s="2">
        <v>43336.198842592596</v>
      </c>
      <c r="F1709" t="s">
        <v>298</v>
      </c>
      <c r="G1709" t="s">
        <v>318</v>
      </c>
      <c r="H1709" t="s">
        <v>447</v>
      </c>
      <c r="I1709" t="s">
        <v>492</v>
      </c>
      <c r="J1709" t="s">
        <v>493</v>
      </c>
    </row>
    <row r="1710" spans="1:10" hidden="1" x14ac:dyDescent="0.25">
      <c r="A1710" t="s">
        <v>405</v>
      </c>
      <c r="B1710" t="s">
        <v>6</v>
      </c>
      <c r="C1710" t="s">
        <v>7</v>
      </c>
      <c r="D1710" t="s">
        <v>10</v>
      </c>
      <c r="E1710" s="2">
        <v>43336.199062500003</v>
      </c>
      <c r="F1710" t="s">
        <v>586</v>
      </c>
      <c r="G1710" t="s">
        <v>318</v>
      </c>
      <c r="H1710" t="s">
        <v>459</v>
      </c>
      <c r="I1710" t="s">
        <v>490</v>
      </c>
      <c r="J1710" t="s">
        <v>491</v>
      </c>
    </row>
    <row r="1711" spans="1:10" hidden="1" x14ac:dyDescent="0.25">
      <c r="A1711" t="s">
        <v>59</v>
      </c>
      <c r="B1711" t="s">
        <v>306</v>
      </c>
      <c r="C1711" t="s">
        <v>306</v>
      </c>
      <c r="D1711" t="s">
        <v>307</v>
      </c>
      <c r="E1711" s="2">
        <v>43336.199259259258</v>
      </c>
      <c r="F1711" t="s">
        <v>299</v>
      </c>
      <c r="G1711" t="s">
        <v>318</v>
      </c>
      <c r="H1711" t="s">
        <v>448</v>
      </c>
      <c r="I1711" t="s">
        <v>558</v>
      </c>
      <c r="J1711" t="s">
        <v>559</v>
      </c>
    </row>
    <row r="1712" spans="1:10" hidden="1" x14ac:dyDescent="0.25">
      <c r="A1712" t="s">
        <v>375</v>
      </c>
      <c r="B1712" t="s">
        <v>6</v>
      </c>
      <c r="C1712" t="s">
        <v>7</v>
      </c>
      <c r="D1712" t="s">
        <v>10</v>
      </c>
      <c r="E1712" s="2">
        <v>43336.199305555558</v>
      </c>
      <c r="F1712" t="s">
        <v>587</v>
      </c>
      <c r="G1712" t="s">
        <v>458</v>
      </c>
      <c r="H1712" t="s">
        <v>431</v>
      </c>
      <c r="I1712" t="s">
        <v>566</v>
      </c>
      <c r="J1712" t="s">
        <v>491</v>
      </c>
    </row>
    <row r="1713" spans="1:10" hidden="1" x14ac:dyDescent="0.25">
      <c r="A1713" t="s">
        <v>308</v>
      </c>
      <c r="B1713" t="s">
        <v>6</v>
      </c>
      <c r="C1713" t="s">
        <v>7</v>
      </c>
      <c r="D1713" t="s">
        <v>13</v>
      </c>
      <c r="E1713" s="2">
        <v>43336.19935185185</v>
      </c>
      <c r="F1713" t="s">
        <v>591</v>
      </c>
      <c r="G1713" t="s">
        <v>318</v>
      </c>
      <c r="H1713" t="s">
        <v>448</v>
      </c>
      <c r="I1713" t="s">
        <v>554</v>
      </c>
      <c r="J1713" t="s">
        <v>497</v>
      </c>
    </row>
    <row r="1714" spans="1:10" hidden="1" x14ac:dyDescent="0.25">
      <c r="A1714" t="s">
        <v>83</v>
      </c>
      <c r="B1714" t="s">
        <v>6</v>
      </c>
      <c r="C1714" t="s">
        <v>7</v>
      </c>
      <c r="D1714" t="s">
        <v>10</v>
      </c>
      <c r="E1714" s="2">
        <v>43336.199386574073</v>
      </c>
      <c r="F1714" t="s">
        <v>590</v>
      </c>
      <c r="G1714" t="s">
        <v>429</v>
      </c>
      <c r="H1714" t="s">
        <v>438</v>
      </c>
      <c r="I1714" t="s">
        <v>513</v>
      </c>
      <c r="J1714" t="s">
        <v>513</v>
      </c>
    </row>
    <row r="1715" spans="1:10" hidden="1" x14ac:dyDescent="0.25">
      <c r="A1715" t="s">
        <v>114</v>
      </c>
      <c r="B1715" t="s">
        <v>6</v>
      </c>
      <c r="C1715" t="s">
        <v>7</v>
      </c>
      <c r="D1715" t="s">
        <v>10</v>
      </c>
      <c r="E1715" s="2">
        <v>43336.199560185189</v>
      </c>
      <c r="F1715" t="s">
        <v>298</v>
      </c>
      <c r="G1715" t="s">
        <v>318</v>
      </c>
      <c r="H1715" t="s">
        <v>448</v>
      </c>
      <c r="I1715" t="s">
        <v>492</v>
      </c>
      <c r="J1715" t="s">
        <v>493</v>
      </c>
    </row>
    <row r="1716" spans="1:10" hidden="1" x14ac:dyDescent="0.25">
      <c r="A1716" t="s">
        <v>406</v>
      </c>
      <c r="B1716" t="s">
        <v>6</v>
      </c>
      <c r="C1716" t="s">
        <v>7</v>
      </c>
      <c r="D1716" t="s">
        <v>10</v>
      </c>
      <c r="E1716" s="2">
        <v>43336.199687499997</v>
      </c>
      <c r="F1716" t="s">
        <v>586</v>
      </c>
      <c r="G1716" t="s">
        <v>318</v>
      </c>
      <c r="H1716" t="s">
        <v>460</v>
      </c>
      <c r="I1716" t="s">
        <v>490</v>
      </c>
      <c r="J1716" t="s">
        <v>491</v>
      </c>
    </row>
    <row r="1717" spans="1:10" hidden="1" x14ac:dyDescent="0.25">
      <c r="A1717" t="s">
        <v>423</v>
      </c>
      <c r="B1717" t="s">
        <v>6</v>
      </c>
      <c r="C1717" t="s">
        <v>7</v>
      </c>
      <c r="D1717" t="s">
        <v>13</v>
      </c>
      <c r="E1717" s="2">
        <v>43336.20008101852</v>
      </c>
      <c r="F1717" t="s">
        <v>591</v>
      </c>
      <c r="G1717" t="s">
        <v>318</v>
      </c>
      <c r="H1717" t="s">
        <v>449</v>
      </c>
      <c r="I1717" t="s">
        <v>554</v>
      </c>
      <c r="J1717" t="s">
        <v>497</v>
      </c>
    </row>
    <row r="1718" spans="1:10" hidden="1" x14ac:dyDescent="0.25">
      <c r="A1718" t="s">
        <v>158</v>
      </c>
      <c r="B1718" t="s">
        <v>6</v>
      </c>
      <c r="C1718" t="s">
        <v>7</v>
      </c>
      <c r="D1718" t="s">
        <v>10</v>
      </c>
      <c r="E1718" s="2">
        <v>43336.200150462966</v>
      </c>
      <c r="F1718" t="s">
        <v>298</v>
      </c>
      <c r="G1718" t="s">
        <v>318</v>
      </c>
      <c r="H1718" t="s">
        <v>449</v>
      </c>
      <c r="I1718" t="s">
        <v>492</v>
      </c>
      <c r="J1718" t="s">
        <v>493</v>
      </c>
    </row>
    <row r="1719" spans="1:10" hidden="1" x14ac:dyDescent="0.25">
      <c r="A1719" t="s">
        <v>407</v>
      </c>
      <c r="B1719" t="s">
        <v>6</v>
      </c>
      <c r="C1719" t="s">
        <v>7</v>
      </c>
      <c r="D1719" t="s">
        <v>10</v>
      </c>
      <c r="E1719" s="2">
        <v>43336.200312499997</v>
      </c>
      <c r="F1719" t="s">
        <v>586</v>
      </c>
      <c r="G1719" t="s">
        <v>318</v>
      </c>
      <c r="H1719" t="s">
        <v>461</v>
      </c>
      <c r="I1719" t="s">
        <v>490</v>
      </c>
      <c r="J1719" t="s">
        <v>491</v>
      </c>
    </row>
    <row r="1720" spans="1:10" hidden="1" x14ac:dyDescent="0.25">
      <c r="A1720" t="s">
        <v>343</v>
      </c>
      <c r="B1720" t="s">
        <v>6</v>
      </c>
      <c r="C1720" t="s">
        <v>7</v>
      </c>
      <c r="D1720" t="s">
        <v>10</v>
      </c>
      <c r="E1720" s="2">
        <v>43336.20040509259</v>
      </c>
      <c r="F1720" t="s">
        <v>587</v>
      </c>
      <c r="G1720" t="s">
        <v>458</v>
      </c>
      <c r="H1720" t="s">
        <v>432</v>
      </c>
      <c r="I1720" t="s">
        <v>567</v>
      </c>
      <c r="J1720" t="s">
        <v>491</v>
      </c>
    </row>
    <row r="1721" spans="1:10" hidden="1" x14ac:dyDescent="0.25">
      <c r="A1721" t="s">
        <v>16</v>
      </c>
      <c r="B1721" t="s">
        <v>6</v>
      </c>
      <c r="C1721" t="s">
        <v>7</v>
      </c>
      <c r="D1721" t="s">
        <v>10</v>
      </c>
      <c r="E1721" s="2">
        <v>43336.20076388889</v>
      </c>
      <c r="F1721" t="s">
        <v>298</v>
      </c>
      <c r="G1721" t="s">
        <v>318</v>
      </c>
      <c r="H1721" t="s">
        <v>450</v>
      </c>
      <c r="I1721" t="s">
        <v>492</v>
      </c>
      <c r="J1721" t="s">
        <v>493</v>
      </c>
    </row>
    <row r="1722" spans="1:10" hidden="1" x14ac:dyDescent="0.25">
      <c r="A1722" t="s">
        <v>424</v>
      </c>
      <c r="B1722" t="s">
        <v>6</v>
      </c>
      <c r="C1722" t="s">
        <v>7</v>
      </c>
      <c r="D1722" t="s">
        <v>13</v>
      </c>
      <c r="E1722" s="2">
        <v>43336.200821759259</v>
      </c>
      <c r="F1722" t="s">
        <v>591</v>
      </c>
      <c r="G1722" t="s">
        <v>318</v>
      </c>
      <c r="H1722" t="s">
        <v>450</v>
      </c>
      <c r="I1722" t="s">
        <v>554</v>
      </c>
      <c r="J1722" t="s">
        <v>497</v>
      </c>
    </row>
    <row r="1723" spans="1:10" hidden="1" x14ac:dyDescent="0.25">
      <c r="A1723" t="s">
        <v>408</v>
      </c>
      <c r="B1723" t="s">
        <v>6</v>
      </c>
      <c r="C1723" t="s">
        <v>7</v>
      </c>
      <c r="D1723" t="s">
        <v>10</v>
      </c>
      <c r="E1723" s="2">
        <v>43336.200937499998</v>
      </c>
      <c r="F1723" t="s">
        <v>586</v>
      </c>
      <c r="G1723" t="s">
        <v>318</v>
      </c>
      <c r="H1723" t="s">
        <v>462</v>
      </c>
      <c r="I1723" t="s">
        <v>490</v>
      </c>
      <c r="J1723" t="s">
        <v>491</v>
      </c>
    </row>
    <row r="1724" spans="1:10" hidden="1" x14ac:dyDescent="0.25">
      <c r="A1724" t="s">
        <v>344</v>
      </c>
      <c r="B1724" t="s">
        <v>6</v>
      </c>
      <c r="C1724" t="s">
        <v>7</v>
      </c>
      <c r="D1724" t="s">
        <v>10</v>
      </c>
      <c r="E1724" s="2">
        <v>43336.201215277775</v>
      </c>
      <c r="F1724" t="s">
        <v>587</v>
      </c>
      <c r="G1724" t="s">
        <v>458</v>
      </c>
      <c r="H1724" t="s">
        <v>433</v>
      </c>
      <c r="I1724" t="s">
        <v>569</v>
      </c>
      <c r="J1724" t="s">
        <v>491</v>
      </c>
    </row>
    <row r="1725" spans="1:10" hidden="1" x14ac:dyDescent="0.25">
      <c r="A1725" t="s">
        <v>113</v>
      </c>
      <c r="B1725" t="s">
        <v>6</v>
      </c>
      <c r="C1725" t="s">
        <v>7</v>
      </c>
      <c r="D1725" t="s">
        <v>10</v>
      </c>
      <c r="E1725" s="2">
        <v>43336.201435185183</v>
      </c>
      <c r="F1725" t="s">
        <v>298</v>
      </c>
      <c r="G1725" t="s">
        <v>318</v>
      </c>
      <c r="H1725" t="s">
        <v>451</v>
      </c>
      <c r="I1725" t="s">
        <v>492</v>
      </c>
      <c r="J1725" t="s">
        <v>493</v>
      </c>
    </row>
    <row r="1726" spans="1:10" hidden="1" x14ac:dyDescent="0.25">
      <c r="A1726" t="s">
        <v>335</v>
      </c>
      <c r="B1726" t="s">
        <v>6</v>
      </c>
      <c r="C1726" t="s">
        <v>7</v>
      </c>
      <c r="D1726" t="s">
        <v>10</v>
      </c>
      <c r="E1726" s="2">
        <v>43336.201539351852</v>
      </c>
      <c r="F1726" t="s">
        <v>586</v>
      </c>
      <c r="G1726" t="s">
        <v>318</v>
      </c>
      <c r="H1726" t="s">
        <v>453</v>
      </c>
      <c r="I1726" t="s">
        <v>490</v>
      </c>
      <c r="J1726" t="s">
        <v>491</v>
      </c>
    </row>
    <row r="1727" spans="1:10" hidden="1" x14ac:dyDescent="0.25">
      <c r="A1727" t="s">
        <v>417</v>
      </c>
      <c r="B1727" t="s">
        <v>6</v>
      </c>
      <c r="C1727" t="s">
        <v>7</v>
      </c>
      <c r="D1727" t="s">
        <v>10</v>
      </c>
      <c r="E1727" s="2">
        <v>43336.201597222222</v>
      </c>
      <c r="F1727" t="s">
        <v>591</v>
      </c>
      <c r="G1727" t="s">
        <v>318</v>
      </c>
      <c r="H1727" t="s">
        <v>451</v>
      </c>
      <c r="I1727" t="s">
        <v>490</v>
      </c>
      <c r="J1727" t="s">
        <v>497</v>
      </c>
    </row>
    <row r="1728" spans="1:10" hidden="1" x14ac:dyDescent="0.25">
      <c r="A1728" t="s">
        <v>345</v>
      </c>
      <c r="B1728" t="s">
        <v>6</v>
      </c>
      <c r="C1728" t="s">
        <v>7</v>
      </c>
      <c r="D1728" t="s">
        <v>10</v>
      </c>
      <c r="E1728" s="2">
        <v>43336.201840277776</v>
      </c>
      <c r="F1728" t="s">
        <v>587</v>
      </c>
      <c r="G1728" t="s">
        <v>458</v>
      </c>
      <c r="H1728" t="s">
        <v>434</v>
      </c>
      <c r="I1728" t="s">
        <v>571</v>
      </c>
      <c r="J1728" t="s">
        <v>491</v>
      </c>
    </row>
    <row r="1729" spans="1:10" hidden="1" x14ac:dyDescent="0.25">
      <c r="A1729" t="s">
        <v>112</v>
      </c>
      <c r="B1729" t="s">
        <v>6</v>
      </c>
      <c r="C1729" t="s">
        <v>7</v>
      </c>
      <c r="D1729" t="s">
        <v>10</v>
      </c>
      <c r="E1729" s="2">
        <v>43336.202048611114</v>
      </c>
      <c r="F1729" t="s">
        <v>298</v>
      </c>
      <c r="G1729" t="s">
        <v>318</v>
      </c>
      <c r="H1729" t="s">
        <v>452</v>
      </c>
      <c r="I1729" t="s">
        <v>492</v>
      </c>
      <c r="J1729" t="s">
        <v>493</v>
      </c>
    </row>
    <row r="1730" spans="1:10" hidden="1" x14ac:dyDescent="0.25">
      <c r="A1730" t="s">
        <v>419</v>
      </c>
      <c r="B1730" t="s">
        <v>6</v>
      </c>
      <c r="C1730" t="s">
        <v>7</v>
      </c>
      <c r="D1730" t="s">
        <v>10</v>
      </c>
      <c r="E1730" s="2">
        <v>43336.202280092592</v>
      </c>
      <c r="F1730" t="s">
        <v>591</v>
      </c>
      <c r="G1730" t="s">
        <v>318</v>
      </c>
      <c r="H1730" t="s">
        <v>452</v>
      </c>
      <c r="I1730" t="s">
        <v>490</v>
      </c>
      <c r="J1730" t="s">
        <v>497</v>
      </c>
    </row>
    <row r="1731" spans="1:10" hidden="1" x14ac:dyDescent="0.25">
      <c r="A1731" t="s">
        <v>336</v>
      </c>
      <c r="B1731" t="s">
        <v>6</v>
      </c>
      <c r="C1731" t="s">
        <v>7</v>
      </c>
      <c r="D1731" t="s">
        <v>10</v>
      </c>
      <c r="E1731" s="2">
        <v>43336.202291666668</v>
      </c>
      <c r="F1731" t="s">
        <v>586</v>
      </c>
      <c r="G1731" t="s">
        <v>318</v>
      </c>
      <c r="H1731" t="s">
        <v>454</v>
      </c>
      <c r="I1731" t="s">
        <v>490</v>
      </c>
      <c r="J1731" t="s">
        <v>491</v>
      </c>
    </row>
    <row r="1732" spans="1:10" hidden="1" x14ac:dyDescent="0.25">
      <c r="A1732" t="s">
        <v>346</v>
      </c>
      <c r="B1732" t="s">
        <v>6</v>
      </c>
      <c r="C1732" t="s">
        <v>7</v>
      </c>
      <c r="D1732" t="s">
        <v>10</v>
      </c>
      <c r="E1732" s="2">
        <v>43336.202476851853</v>
      </c>
      <c r="F1732" t="s">
        <v>587</v>
      </c>
      <c r="G1732" t="s">
        <v>458</v>
      </c>
      <c r="H1732" t="s">
        <v>435</v>
      </c>
      <c r="I1732" t="s">
        <v>570</v>
      </c>
      <c r="J1732" t="s">
        <v>491</v>
      </c>
    </row>
    <row r="1733" spans="1:10" hidden="1" x14ac:dyDescent="0.25">
      <c r="A1733" t="s">
        <v>337</v>
      </c>
      <c r="B1733" t="s">
        <v>6</v>
      </c>
      <c r="C1733" t="s">
        <v>7</v>
      </c>
      <c r="D1733" t="s">
        <v>10</v>
      </c>
      <c r="E1733" s="2">
        <v>43336.203136574077</v>
      </c>
      <c r="F1733" t="s">
        <v>586</v>
      </c>
      <c r="G1733" t="s">
        <v>318</v>
      </c>
      <c r="H1733" t="s">
        <v>455</v>
      </c>
      <c r="I1733" t="s">
        <v>490</v>
      </c>
      <c r="J1733" t="s">
        <v>491</v>
      </c>
    </row>
    <row r="1734" spans="1:10" hidden="1" x14ac:dyDescent="0.25">
      <c r="A1734" t="s">
        <v>57</v>
      </c>
      <c r="B1734" t="s">
        <v>306</v>
      </c>
      <c r="C1734" t="s">
        <v>306</v>
      </c>
      <c r="D1734" t="s">
        <v>307</v>
      </c>
      <c r="E1734" s="2">
        <v>43336.203425925924</v>
      </c>
      <c r="F1734" t="s">
        <v>299</v>
      </c>
      <c r="G1734" t="s">
        <v>318</v>
      </c>
      <c r="H1734" t="s">
        <v>449</v>
      </c>
      <c r="I1734" t="s">
        <v>558</v>
      </c>
      <c r="J1734" t="s">
        <v>559</v>
      </c>
    </row>
    <row r="1735" spans="1:10" hidden="1" x14ac:dyDescent="0.25">
      <c r="A1735" t="s">
        <v>338</v>
      </c>
      <c r="B1735" t="s">
        <v>6</v>
      </c>
      <c r="C1735" t="s">
        <v>7</v>
      </c>
      <c r="D1735" t="s">
        <v>27</v>
      </c>
      <c r="E1735" s="2">
        <v>43336.204108796293</v>
      </c>
      <c r="F1735" t="s">
        <v>586</v>
      </c>
      <c r="G1735" t="s">
        <v>318</v>
      </c>
      <c r="H1735" t="s">
        <v>456</v>
      </c>
      <c r="I1735" t="s">
        <v>490</v>
      </c>
      <c r="J1735" t="s">
        <v>491</v>
      </c>
    </row>
    <row r="1736" spans="1:10" hidden="1" x14ac:dyDescent="0.25">
      <c r="A1736" t="s">
        <v>339</v>
      </c>
      <c r="B1736" t="s">
        <v>6</v>
      </c>
      <c r="C1736" t="s">
        <v>7</v>
      </c>
      <c r="D1736" t="s">
        <v>27</v>
      </c>
      <c r="E1736" s="2">
        <v>43336.20484953704</v>
      </c>
      <c r="F1736" t="s">
        <v>586</v>
      </c>
      <c r="G1736" t="s">
        <v>318</v>
      </c>
      <c r="H1736" t="s">
        <v>426</v>
      </c>
      <c r="I1736" t="s">
        <v>490</v>
      </c>
      <c r="J1736" t="s">
        <v>491</v>
      </c>
    </row>
    <row r="1737" spans="1:10" hidden="1" x14ac:dyDescent="0.25">
      <c r="A1737" t="s">
        <v>309</v>
      </c>
      <c r="B1737" t="s">
        <v>6</v>
      </c>
      <c r="C1737" t="s">
        <v>7</v>
      </c>
      <c r="D1737" t="s">
        <v>10</v>
      </c>
      <c r="E1737" s="2">
        <v>43336.205462962964</v>
      </c>
      <c r="F1737" t="s">
        <v>586</v>
      </c>
      <c r="G1737" t="s">
        <v>318</v>
      </c>
      <c r="H1737" t="s">
        <v>427</v>
      </c>
      <c r="I1737" t="s">
        <v>490</v>
      </c>
      <c r="J1737" t="s">
        <v>491</v>
      </c>
    </row>
    <row r="1738" spans="1:10" hidden="1" x14ac:dyDescent="0.25">
      <c r="A1738" t="s">
        <v>310</v>
      </c>
      <c r="B1738" t="s">
        <v>6</v>
      </c>
      <c r="C1738" t="s">
        <v>7</v>
      </c>
      <c r="D1738" t="s">
        <v>27</v>
      </c>
      <c r="E1738" s="2">
        <v>43336.206203703703</v>
      </c>
      <c r="F1738" t="s">
        <v>586</v>
      </c>
      <c r="G1738" t="s">
        <v>318</v>
      </c>
      <c r="H1738" t="s">
        <v>428</v>
      </c>
      <c r="I1738" t="s">
        <v>490</v>
      </c>
      <c r="J1738" t="s">
        <v>491</v>
      </c>
    </row>
    <row r="1739" spans="1:10" hidden="1" x14ac:dyDescent="0.25">
      <c r="A1739" t="s">
        <v>154</v>
      </c>
      <c r="B1739" t="s">
        <v>306</v>
      </c>
      <c r="C1739" t="s">
        <v>306</v>
      </c>
      <c r="D1739" t="s">
        <v>307</v>
      </c>
      <c r="E1739" s="2">
        <v>43336.20621527778</v>
      </c>
      <c r="F1739" t="s">
        <v>299</v>
      </c>
      <c r="G1739" t="s">
        <v>318</v>
      </c>
      <c r="H1739" t="s">
        <v>450</v>
      </c>
      <c r="I1739" t="s">
        <v>558</v>
      </c>
      <c r="J1739" t="s">
        <v>559</v>
      </c>
    </row>
    <row r="1740" spans="1:10" hidden="1" x14ac:dyDescent="0.25">
      <c r="A1740" t="s">
        <v>311</v>
      </c>
      <c r="B1740" t="s">
        <v>6</v>
      </c>
      <c r="C1740" t="s">
        <v>7</v>
      </c>
      <c r="D1740" t="s">
        <v>10</v>
      </c>
      <c r="E1740" s="2">
        <v>43336.206817129627</v>
      </c>
      <c r="F1740" t="s">
        <v>586</v>
      </c>
      <c r="G1740" t="s">
        <v>318</v>
      </c>
      <c r="H1740" t="s">
        <v>429</v>
      </c>
      <c r="I1740" t="s">
        <v>490</v>
      </c>
      <c r="J1740" t="s">
        <v>491</v>
      </c>
    </row>
    <row r="1741" spans="1:10" hidden="1" x14ac:dyDescent="0.25">
      <c r="A1741" t="s">
        <v>312</v>
      </c>
      <c r="B1741" t="s">
        <v>6</v>
      </c>
      <c r="C1741" t="s">
        <v>7</v>
      </c>
      <c r="D1741" t="s">
        <v>10</v>
      </c>
      <c r="E1741" s="2">
        <v>43336.207430555558</v>
      </c>
      <c r="F1741" t="s">
        <v>586</v>
      </c>
      <c r="G1741" t="s">
        <v>318</v>
      </c>
      <c r="H1741" t="s">
        <v>430</v>
      </c>
      <c r="I1741" t="s">
        <v>490</v>
      </c>
      <c r="J1741" t="s">
        <v>491</v>
      </c>
    </row>
    <row r="1742" spans="1:10" hidden="1" x14ac:dyDescent="0.25">
      <c r="A1742" t="s">
        <v>313</v>
      </c>
      <c r="B1742" t="s">
        <v>6</v>
      </c>
      <c r="C1742" t="s">
        <v>7</v>
      </c>
      <c r="D1742" t="s">
        <v>27</v>
      </c>
      <c r="E1742" s="2">
        <v>43336.208171296297</v>
      </c>
      <c r="F1742" t="s">
        <v>586</v>
      </c>
      <c r="G1742" t="s">
        <v>318</v>
      </c>
      <c r="H1742" t="s">
        <v>431</v>
      </c>
      <c r="I1742" t="s">
        <v>490</v>
      </c>
      <c r="J1742" t="s">
        <v>491</v>
      </c>
    </row>
    <row r="1743" spans="1:10" hidden="1" x14ac:dyDescent="0.25">
      <c r="A1743" t="s">
        <v>314</v>
      </c>
      <c r="B1743" t="s">
        <v>6</v>
      </c>
      <c r="C1743" t="s">
        <v>7</v>
      </c>
      <c r="D1743" t="s">
        <v>27</v>
      </c>
      <c r="E1743" s="2">
        <v>43336.20894675926</v>
      </c>
      <c r="F1743" t="s">
        <v>586</v>
      </c>
      <c r="G1743" t="s">
        <v>318</v>
      </c>
      <c r="H1743" t="s">
        <v>432</v>
      </c>
      <c r="I1743" t="s">
        <v>490</v>
      </c>
      <c r="J1743" t="s">
        <v>491</v>
      </c>
    </row>
    <row r="1744" spans="1:10" hidden="1" x14ac:dyDescent="0.25">
      <c r="A1744" t="s">
        <v>56</v>
      </c>
      <c r="B1744" t="s">
        <v>306</v>
      </c>
      <c r="C1744" t="s">
        <v>306</v>
      </c>
      <c r="D1744" t="s">
        <v>307</v>
      </c>
      <c r="E1744" s="2">
        <v>43336.209004629629</v>
      </c>
      <c r="F1744" t="s">
        <v>299</v>
      </c>
      <c r="G1744" t="s">
        <v>318</v>
      </c>
      <c r="H1744" t="s">
        <v>451</v>
      </c>
      <c r="I1744" t="s">
        <v>558</v>
      </c>
      <c r="J1744" t="s">
        <v>559</v>
      </c>
    </row>
    <row r="1745" spans="1:10" hidden="1" x14ac:dyDescent="0.25">
      <c r="A1745" t="s">
        <v>315</v>
      </c>
      <c r="B1745" t="s">
        <v>6</v>
      </c>
      <c r="C1745" t="s">
        <v>7</v>
      </c>
      <c r="D1745" t="s">
        <v>27</v>
      </c>
      <c r="E1745" s="2">
        <v>43336.209699074076</v>
      </c>
      <c r="F1745" t="s">
        <v>586</v>
      </c>
      <c r="G1745" t="s">
        <v>318</v>
      </c>
      <c r="H1745" t="s">
        <v>433</v>
      </c>
      <c r="I1745" t="s">
        <v>490</v>
      </c>
      <c r="J1745" t="s">
        <v>491</v>
      </c>
    </row>
    <row r="1746" spans="1:10" hidden="1" x14ac:dyDescent="0.25">
      <c r="A1746" t="s">
        <v>316</v>
      </c>
      <c r="B1746" t="s">
        <v>6</v>
      </c>
      <c r="C1746" t="s">
        <v>7</v>
      </c>
      <c r="D1746" t="s">
        <v>27</v>
      </c>
      <c r="E1746" s="2">
        <v>43336.210451388892</v>
      </c>
      <c r="F1746" t="s">
        <v>586</v>
      </c>
      <c r="G1746" t="s">
        <v>318</v>
      </c>
      <c r="H1746" t="s">
        <v>434</v>
      </c>
      <c r="I1746" t="s">
        <v>490</v>
      </c>
      <c r="J1746" t="s">
        <v>491</v>
      </c>
    </row>
    <row r="1747" spans="1:10" hidden="1" x14ac:dyDescent="0.25">
      <c r="A1747" t="s">
        <v>239</v>
      </c>
      <c r="B1747" t="s">
        <v>6</v>
      </c>
      <c r="C1747" t="s">
        <v>7</v>
      </c>
      <c r="D1747" t="s">
        <v>10</v>
      </c>
      <c r="E1747" s="2">
        <v>43336.211122685185</v>
      </c>
      <c r="F1747" t="s">
        <v>302</v>
      </c>
      <c r="G1747" t="s">
        <v>456</v>
      </c>
      <c r="H1747" t="s">
        <v>323</v>
      </c>
      <c r="I1747" t="s">
        <v>498</v>
      </c>
      <c r="J1747" t="s">
        <v>498</v>
      </c>
    </row>
    <row r="1748" spans="1:10" hidden="1" x14ac:dyDescent="0.25">
      <c r="A1748" t="s">
        <v>411</v>
      </c>
      <c r="B1748" t="s">
        <v>6</v>
      </c>
      <c r="C1748" t="s">
        <v>7</v>
      </c>
      <c r="D1748" t="s">
        <v>27</v>
      </c>
      <c r="E1748" s="2">
        <v>43336.211215277777</v>
      </c>
      <c r="F1748" t="s">
        <v>586</v>
      </c>
      <c r="G1748" t="s">
        <v>318</v>
      </c>
      <c r="H1748" t="s">
        <v>435</v>
      </c>
      <c r="I1748" t="s">
        <v>490</v>
      </c>
      <c r="J1748" t="s">
        <v>491</v>
      </c>
    </row>
    <row r="1749" spans="1:10" hidden="1" x14ac:dyDescent="0.25">
      <c r="A1749" t="s">
        <v>268</v>
      </c>
      <c r="B1749" t="s">
        <v>6</v>
      </c>
      <c r="C1749" t="s">
        <v>7</v>
      </c>
      <c r="D1749" t="s">
        <v>10</v>
      </c>
      <c r="E1749" s="2">
        <v>43336.211712962962</v>
      </c>
      <c r="F1749" t="s">
        <v>302</v>
      </c>
      <c r="G1749" t="s">
        <v>456</v>
      </c>
      <c r="H1749" t="s">
        <v>385</v>
      </c>
      <c r="I1749" t="s">
        <v>498</v>
      </c>
      <c r="J1749" t="s">
        <v>498</v>
      </c>
    </row>
    <row r="1750" spans="1:10" hidden="1" x14ac:dyDescent="0.25">
      <c r="A1750" t="s">
        <v>78</v>
      </c>
      <c r="B1750" t="s">
        <v>306</v>
      </c>
      <c r="C1750" t="s">
        <v>306</v>
      </c>
      <c r="D1750" t="s">
        <v>307</v>
      </c>
      <c r="E1750" s="2">
        <v>43336.211805555555</v>
      </c>
      <c r="F1750" t="s">
        <v>299</v>
      </c>
      <c r="G1750" t="s">
        <v>318</v>
      </c>
      <c r="H1750" t="s">
        <v>452</v>
      </c>
      <c r="I1750" t="s">
        <v>558</v>
      </c>
      <c r="J1750" t="s">
        <v>559</v>
      </c>
    </row>
    <row r="1751" spans="1:10" hidden="1" x14ac:dyDescent="0.25">
      <c r="A1751" t="s">
        <v>377</v>
      </c>
      <c r="B1751" t="s">
        <v>6</v>
      </c>
      <c r="C1751" t="s">
        <v>7</v>
      </c>
      <c r="D1751" t="s">
        <v>10</v>
      </c>
      <c r="E1751" s="2">
        <v>43336.211863425924</v>
      </c>
      <c r="F1751" t="s">
        <v>298</v>
      </c>
      <c r="G1751" t="s">
        <v>318</v>
      </c>
      <c r="H1751" t="s">
        <v>318</v>
      </c>
      <c r="I1751" t="s">
        <v>581</v>
      </c>
      <c r="J1751" t="s">
        <v>581</v>
      </c>
    </row>
    <row r="1752" spans="1:10" hidden="1" x14ac:dyDescent="0.25">
      <c r="A1752" t="s">
        <v>412</v>
      </c>
      <c r="B1752" t="s">
        <v>6</v>
      </c>
      <c r="C1752" t="s">
        <v>7</v>
      </c>
      <c r="D1752" t="s">
        <v>27</v>
      </c>
      <c r="E1752" s="2">
        <v>43336.21199074074</v>
      </c>
      <c r="F1752" t="s">
        <v>586</v>
      </c>
      <c r="G1752" t="s">
        <v>318</v>
      </c>
      <c r="H1752" t="s">
        <v>436</v>
      </c>
      <c r="I1752" t="s">
        <v>490</v>
      </c>
      <c r="J1752" t="s">
        <v>491</v>
      </c>
    </row>
    <row r="1753" spans="1:10" hidden="1" x14ac:dyDescent="0.25">
      <c r="A1753" t="s">
        <v>269</v>
      </c>
      <c r="B1753" t="s">
        <v>6</v>
      </c>
      <c r="C1753" t="s">
        <v>7</v>
      </c>
      <c r="D1753" t="s">
        <v>476</v>
      </c>
      <c r="E1753" s="2">
        <v>43336.21230324074</v>
      </c>
      <c r="F1753" t="s">
        <v>302</v>
      </c>
      <c r="G1753" t="s">
        <v>456</v>
      </c>
      <c r="H1753" t="s">
        <v>457</v>
      </c>
      <c r="I1753" t="s">
        <v>498</v>
      </c>
      <c r="J1753" t="s">
        <v>498</v>
      </c>
    </row>
    <row r="1754" spans="1:10" hidden="1" x14ac:dyDescent="0.25">
      <c r="A1754" t="s">
        <v>384</v>
      </c>
      <c r="B1754" t="s">
        <v>6</v>
      </c>
      <c r="C1754" t="s">
        <v>7</v>
      </c>
      <c r="D1754" t="s">
        <v>10</v>
      </c>
      <c r="E1754" s="2">
        <v>43336.212453703702</v>
      </c>
      <c r="F1754" t="s">
        <v>298</v>
      </c>
      <c r="G1754" t="s">
        <v>318</v>
      </c>
      <c r="H1754" t="s">
        <v>323</v>
      </c>
      <c r="I1754" t="s">
        <v>581</v>
      </c>
      <c r="J1754" t="s">
        <v>581</v>
      </c>
    </row>
    <row r="1755" spans="1:10" hidden="1" x14ac:dyDescent="0.25">
      <c r="A1755" t="s">
        <v>413</v>
      </c>
      <c r="B1755" t="s">
        <v>6</v>
      </c>
      <c r="C1755" t="s">
        <v>7</v>
      </c>
      <c r="D1755" t="s">
        <v>10</v>
      </c>
      <c r="E1755" s="2">
        <v>43336.21261574074</v>
      </c>
      <c r="F1755" t="s">
        <v>586</v>
      </c>
      <c r="G1755" t="s">
        <v>318</v>
      </c>
      <c r="H1755" t="s">
        <v>437</v>
      </c>
      <c r="I1755" t="s">
        <v>490</v>
      </c>
      <c r="J1755" t="s">
        <v>491</v>
      </c>
    </row>
    <row r="1756" spans="1:10" hidden="1" x14ac:dyDescent="0.25">
      <c r="A1756" t="s">
        <v>270</v>
      </c>
      <c r="B1756" t="s">
        <v>6</v>
      </c>
      <c r="C1756" t="s">
        <v>7</v>
      </c>
      <c r="D1756" t="s">
        <v>10</v>
      </c>
      <c r="E1756" s="2">
        <v>43336.212905092594</v>
      </c>
      <c r="F1756" t="s">
        <v>302</v>
      </c>
      <c r="G1756" t="s">
        <v>456</v>
      </c>
      <c r="H1756" t="s">
        <v>458</v>
      </c>
      <c r="I1756" t="s">
        <v>498</v>
      </c>
      <c r="J1756" t="s">
        <v>498</v>
      </c>
    </row>
    <row r="1757" spans="1:10" hidden="1" x14ac:dyDescent="0.25">
      <c r="A1757" t="s">
        <v>326</v>
      </c>
      <c r="B1757" t="s">
        <v>6</v>
      </c>
      <c r="C1757" t="s">
        <v>7</v>
      </c>
      <c r="D1757" t="s">
        <v>10</v>
      </c>
      <c r="E1757" s="2">
        <v>43336.213055555556</v>
      </c>
      <c r="F1757" t="s">
        <v>298</v>
      </c>
      <c r="G1757" t="s">
        <v>318</v>
      </c>
      <c r="H1757" t="s">
        <v>385</v>
      </c>
      <c r="I1757" t="s">
        <v>581</v>
      </c>
      <c r="J1757" t="s">
        <v>581</v>
      </c>
    </row>
    <row r="1758" spans="1:10" hidden="1" x14ac:dyDescent="0.25">
      <c r="A1758" t="s">
        <v>409</v>
      </c>
      <c r="B1758" t="s">
        <v>6</v>
      </c>
      <c r="C1758" t="s">
        <v>7</v>
      </c>
      <c r="D1758" t="s">
        <v>10</v>
      </c>
      <c r="E1758" s="2">
        <v>43336.213240740741</v>
      </c>
      <c r="F1758" t="s">
        <v>586</v>
      </c>
      <c r="G1758" t="s">
        <v>318</v>
      </c>
      <c r="H1758" t="s">
        <v>438</v>
      </c>
      <c r="I1758" t="s">
        <v>490</v>
      </c>
      <c r="J1758" t="s">
        <v>491</v>
      </c>
    </row>
    <row r="1759" spans="1:10" hidden="1" x14ac:dyDescent="0.25">
      <c r="A1759" t="s">
        <v>237</v>
      </c>
      <c r="B1759" t="s">
        <v>6</v>
      </c>
      <c r="C1759" t="s">
        <v>7</v>
      </c>
      <c r="D1759" t="s">
        <v>13</v>
      </c>
      <c r="E1759" s="2">
        <v>43336.213622685187</v>
      </c>
      <c r="F1759" t="s">
        <v>302</v>
      </c>
      <c r="G1759" t="s">
        <v>456</v>
      </c>
      <c r="H1759" t="s">
        <v>459</v>
      </c>
      <c r="I1759" t="s">
        <v>498</v>
      </c>
      <c r="J1759" t="s">
        <v>498</v>
      </c>
    </row>
    <row r="1760" spans="1:10" hidden="1" x14ac:dyDescent="0.25">
      <c r="A1760" t="s">
        <v>463</v>
      </c>
      <c r="B1760" t="s">
        <v>6</v>
      </c>
      <c r="C1760" t="s">
        <v>7</v>
      </c>
      <c r="D1760" t="s">
        <v>10</v>
      </c>
      <c r="E1760" s="2">
        <v>43336.21365740741</v>
      </c>
      <c r="F1760" t="s">
        <v>298</v>
      </c>
      <c r="G1760" t="s">
        <v>318</v>
      </c>
      <c r="H1760" t="s">
        <v>457</v>
      </c>
      <c r="I1760" t="s">
        <v>581</v>
      </c>
      <c r="J1760" t="s">
        <v>581</v>
      </c>
    </row>
    <row r="1761" spans="1:10" hidden="1" x14ac:dyDescent="0.25">
      <c r="A1761" t="s">
        <v>363</v>
      </c>
      <c r="B1761" t="s">
        <v>6</v>
      </c>
      <c r="C1761" t="s">
        <v>7</v>
      </c>
      <c r="D1761" t="s">
        <v>10</v>
      </c>
      <c r="E1761" s="2">
        <v>43336.213877314818</v>
      </c>
      <c r="F1761" t="s">
        <v>586</v>
      </c>
      <c r="G1761" t="s">
        <v>318</v>
      </c>
      <c r="H1761" t="s">
        <v>439</v>
      </c>
      <c r="I1761" t="s">
        <v>490</v>
      </c>
      <c r="J1761" t="s">
        <v>491</v>
      </c>
    </row>
    <row r="1762" spans="1:10" hidden="1" x14ac:dyDescent="0.25">
      <c r="A1762" t="s">
        <v>284</v>
      </c>
      <c r="B1762" t="s">
        <v>6</v>
      </c>
      <c r="C1762" t="s">
        <v>7</v>
      </c>
      <c r="D1762" t="s">
        <v>13</v>
      </c>
      <c r="E1762" s="2">
        <v>43336.214236111111</v>
      </c>
      <c r="F1762" t="s">
        <v>303</v>
      </c>
      <c r="G1762" t="s">
        <v>429</v>
      </c>
      <c r="H1762" t="s">
        <v>427</v>
      </c>
      <c r="I1762" t="s">
        <v>494</v>
      </c>
      <c r="J1762" t="s">
        <v>544</v>
      </c>
    </row>
    <row r="1763" spans="1:10" hidden="1" x14ac:dyDescent="0.25">
      <c r="A1763" t="s">
        <v>464</v>
      </c>
      <c r="B1763" t="s">
        <v>6</v>
      </c>
      <c r="C1763" t="s">
        <v>7</v>
      </c>
      <c r="D1763" t="s">
        <v>10</v>
      </c>
      <c r="E1763" s="2">
        <v>43336.214282407411</v>
      </c>
      <c r="F1763" t="s">
        <v>298</v>
      </c>
      <c r="G1763" t="s">
        <v>318</v>
      </c>
      <c r="H1763" t="s">
        <v>458</v>
      </c>
      <c r="I1763" t="s">
        <v>581</v>
      </c>
      <c r="J1763" t="s">
        <v>581</v>
      </c>
    </row>
    <row r="1764" spans="1:10" hidden="1" x14ac:dyDescent="0.25">
      <c r="A1764" t="s">
        <v>232</v>
      </c>
      <c r="B1764" t="s">
        <v>6</v>
      </c>
      <c r="C1764" t="s">
        <v>7</v>
      </c>
      <c r="D1764" t="s">
        <v>13</v>
      </c>
      <c r="E1764" s="2">
        <v>43336.21434027778</v>
      </c>
      <c r="F1764" t="s">
        <v>302</v>
      </c>
      <c r="G1764" t="s">
        <v>456</v>
      </c>
      <c r="H1764" t="s">
        <v>460</v>
      </c>
      <c r="I1764" t="s">
        <v>498</v>
      </c>
      <c r="J1764" t="s">
        <v>498</v>
      </c>
    </row>
    <row r="1765" spans="1:10" hidden="1" x14ac:dyDescent="0.25">
      <c r="A1765" t="s">
        <v>400</v>
      </c>
      <c r="B1765" t="s">
        <v>6</v>
      </c>
      <c r="C1765" t="s">
        <v>7</v>
      </c>
      <c r="D1765" t="s">
        <v>27</v>
      </c>
      <c r="E1765" s="2">
        <v>43336.21465277778</v>
      </c>
      <c r="F1765" t="s">
        <v>586</v>
      </c>
      <c r="G1765" t="s">
        <v>318</v>
      </c>
      <c r="H1765" t="s">
        <v>440</v>
      </c>
      <c r="I1765" t="s">
        <v>490</v>
      </c>
      <c r="J1765" t="s">
        <v>491</v>
      </c>
    </row>
    <row r="1766" spans="1:10" hidden="1" x14ac:dyDescent="0.25">
      <c r="A1766" t="s">
        <v>215</v>
      </c>
      <c r="B1766" t="s">
        <v>6</v>
      </c>
      <c r="C1766" t="s">
        <v>7</v>
      </c>
      <c r="D1766" t="s">
        <v>10</v>
      </c>
      <c r="E1766" s="2">
        <v>43336.214861111112</v>
      </c>
      <c r="F1766" t="s">
        <v>303</v>
      </c>
      <c r="G1766" t="s">
        <v>429</v>
      </c>
      <c r="H1766" t="s">
        <v>428</v>
      </c>
      <c r="I1766" t="s">
        <v>494</v>
      </c>
      <c r="J1766" t="s">
        <v>501</v>
      </c>
    </row>
    <row r="1767" spans="1:10" hidden="1" x14ac:dyDescent="0.25">
      <c r="A1767" t="s">
        <v>482</v>
      </c>
      <c r="B1767" t="s">
        <v>6</v>
      </c>
      <c r="C1767" t="s">
        <v>7</v>
      </c>
      <c r="D1767" t="s">
        <v>10</v>
      </c>
      <c r="E1767" s="2">
        <v>43336.214895833335</v>
      </c>
      <c r="F1767" t="s">
        <v>298</v>
      </c>
      <c r="G1767" t="s">
        <v>318</v>
      </c>
      <c r="H1767" t="s">
        <v>459</v>
      </c>
      <c r="I1767" t="s">
        <v>581</v>
      </c>
      <c r="J1767" t="s">
        <v>581</v>
      </c>
    </row>
    <row r="1768" spans="1:10" hidden="1" x14ac:dyDescent="0.25">
      <c r="A1768" t="s">
        <v>271</v>
      </c>
      <c r="B1768" t="s">
        <v>6</v>
      </c>
      <c r="C1768" t="s">
        <v>7</v>
      </c>
      <c r="D1768" t="s">
        <v>10</v>
      </c>
      <c r="E1768" s="2">
        <v>43336.214930555558</v>
      </c>
      <c r="F1768" t="s">
        <v>302</v>
      </c>
      <c r="G1768" t="s">
        <v>456</v>
      </c>
      <c r="H1768" t="s">
        <v>461</v>
      </c>
      <c r="I1768" t="s">
        <v>498</v>
      </c>
      <c r="J1768" t="s">
        <v>498</v>
      </c>
    </row>
    <row r="1769" spans="1:10" hidden="1" x14ac:dyDescent="0.25">
      <c r="A1769" t="s">
        <v>111</v>
      </c>
      <c r="B1769" t="s">
        <v>6</v>
      </c>
      <c r="C1769" t="s">
        <v>7</v>
      </c>
      <c r="D1769" t="s">
        <v>27</v>
      </c>
      <c r="E1769" s="2">
        <v>43336.214988425927</v>
      </c>
      <c r="F1769" t="s">
        <v>299</v>
      </c>
      <c r="G1769" t="s">
        <v>318</v>
      </c>
      <c r="H1769" t="s">
        <v>318</v>
      </c>
      <c r="I1769" t="s">
        <v>492</v>
      </c>
      <c r="J1769" t="s">
        <v>493</v>
      </c>
    </row>
    <row r="1770" spans="1:10" hidden="1" x14ac:dyDescent="0.25">
      <c r="A1770" t="s">
        <v>376</v>
      </c>
      <c r="B1770" t="s">
        <v>6</v>
      </c>
      <c r="C1770" t="s">
        <v>7</v>
      </c>
      <c r="D1770" t="s">
        <v>27</v>
      </c>
      <c r="E1770" s="2">
        <v>43336.215428240743</v>
      </c>
      <c r="F1770" t="s">
        <v>586</v>
      </c>
      <c r="G1770" t="s">
        <v>318</v>
      </c>
      <c r="H1770" t="s">
        <v>441</v>
      </c>
      <c r="I1770" t="s">
        <v>490</v>
      </c>
      <c r="J1770" t="s">
        <v>491</v>
      </c>
    </row>
    <row r="1771" spans="1:10" hidden="1" x14ac:dyDescent="0.25">
      <c r="A1771" t="s">
        <v>479</v>
      </c>
      <c r="B1771" t="s">
        <v>6</v>
      </c>
      <c r="C1771" t="s">
        <v>7</v>
      </c>
      <c r="D1771" t="s">
        <v>10</v>
      </c>
      <c r="E1771" s="2">
        <v>43336.215497685182</v>
      </c>
      <c r="F1771" t="s">
        <v>298</v>
      </c>
      <c r="G1771" t="s">
        <v>318</v>
      </c>
      <c r="H1771" t="s">
        <v>460</v>
      </c>
      <c r="I1771" t="s">
        <v>581</v>
      </c>
      <c r="J1771" t="s">
        <v>581</v>
      </c>
    </row>
    <row r="1772" spans="1:10" hidden="1" x14ac:dyDescent="0.25">
      <c r="A1772" t="s">
        <v>231</v>
      </c>
      <c r="B1772" t="s">
        <v>6</v>
      </c>
      <c r="C1772" t="s">
        <v>7</v>
      </c>
      <c r="D1772" t="s">
        <v>476</v>
      </c>
      <c r="E1772" s="2">
        <v>43336.215509259258</v>
      </c>
      <c r="F1772" t="s">
        <v>302</v>
      </c>
      <c r="G1772" t="s">
        <v>456</v>
      </c>
      <c r="H1772" t="s">
        <v>462</v>
      </c>
      <c r="I1772" t="s">
        <v>497</v>
      </c>
      <c r="J1772" t="s">
        <v>497</v>
      </c>
    </row>
    <row r="1773" spans="1:10" hidden="1" x14ac:dyDescent="0.25">
      <c r="A1773" t="s">
        <v>285</v>
      </c>
      <c r="B1773" t="s">
        <v>6</v>
      </c>
      <c r="C1773" t="s">
        <v>7</v>
      </c>
      <c r="D1773" t="s">
        <v>27</v>
      </c>
      <c r="E1773" s="2">
        <v>43336.215636574074</v>
      </c>
      <c r="F1773" t="s">
        <v>303</v>
      </c>
      <c r="G1773" t="s">
        <v>429</v>
      </c>
      <c r="H1773" t="s">
        <v>429</v>
      </c>
      <c r="I1773" t="s">
        <v>494</v>
      </c>
      <c r="J1773" t="s">
        <v>501</v>
      </c>
    </row>
    <row r="1774" spans="1:10" hidden="1" x14ac:dyDescent="0.25">
      <c r="A1774" t="s">
        <v>327</v>
      </c>
      <c r="B1774" t="s">
        <v>6</v>
      </c>
      <c r="C1774" t="s">
        <v>7</v>
      </c>
      <c r="D1774" t="s">
        <v>10</v>
      </c>
      <c r="E1774" s="2">
        <v>43336.216041666667</v>
      </c>
      <c r="F1774" t="s">
        <v>586</v>
      </c>
      <c r="G1774" t="s">
        <v>318</v>
      </c>
      <c r="H1774" t="s">
        <v>442</v>
      </c>
      <c r="I1774" t="s">
        <v>490</v>
      </c>
      <c r="J1774" t="s">
        <v>491</v>
      </c>
    </row>
    <row r="1775" spans="1:10" hidden="1" x14ac:dyDescent="0.25">
      <c r="A1775" t="s">
        <v>201</v>
      </c>
      <c r="B1775" t="s">
        <v>6</v>
      </c>
      <c r="C1775" t="s">
        <v>7</v>
      </c>
      <c r="D1775" t="s">
        <v>476</v>
      </c>
      <c r="E1775" s="2">
        <v>43336.216099537036</v>
      </c>
      <c r="F1775" t="s">
        <v>302</v>
      </c>
      <c r="G1775" t="s">
        <v>456</v>
      </c>
      <c r="H1775" t="s">
        <v>453</v>
      </c>
      <c r="I1775" t="s">
        <v>497</v>
      </c>
      <c r="J1775" t="s">
        <v>497</v>
      </c>
    </row>
    <row r="1776" spans="1:10" hidden="1" x14ac:dyDescent="0.25">
      <c r="A1776" t="s">
        <v>381</v>
      </c>
      <c r="B1776" t="s">
        <v>6</v>
      </c>
      <c r="C1776" t="s">
        <v>7</v>
      </c>
      <c r="D1776" t="s">
        <v>10</v>
      </c>
      <c r="E1776" s="2">
        <v>43336.216111111113</v>
      </c>
      <c r="F1776" t="s">
        <v>298</v>
      </c>
      <c r="G1776" t="s">
        <v>318</v>
      </c>
      <c r="H1776" t="s">
        <v>461</v>
      </c>
      <c r="I1776" t="s">
        <v>581</v>
      </c>
      <c r="J1776" t="s">
        <v>581</v>
      </c>
    </row>
    <row r="1777" spans="1:10" hidden="1" x14ac:dyDescent="0.25">
      <c r="A1777" t="s">
        <v>214</v>
      </c>
      <c r="B1777" t="s">
        <v>6</v>
      </c>
      <c r="C1777" t="s">
        <v>7</v>
      </c>
      <c r="D1777" t="s">
        <v>10</v>
      </c>
      <c r="E1777" s="2">
        <v>43336.216261574074</v>
      </c>
      <c r="F1777" t="s">
        <v>303</v>
      </c>
      <c r="G1777" t="s">
        <v>429</v>
      </c>
      <c r="H1777" t="s">
        <v>430</v>
      </c>
      <c r="I1777" t="s">
        <v>494</v>
      </c>
      <c r="J1777" t="s">
        <v>501</v>
      </c>
    </row>
    <row r="1778" spans="1:10" hidden="1" x14ac:dyDescent="0.25">
      <c r="A1778" t="s">
        <v>414</v>
      </c>
      <c r="B1778" t="s">
        <v>6</v>
      </c>
      <c r="C1778" t="s">
        <v>7</v>
      </c>
      <c r="D1778" t="s">
        <v>10</v>
      </c>
      <c r="E1778" s="2">
        <v>43336.216666666667</v>
      </c>
      <c r="F1778" t="s">
        <v>586</v>
      </c>
      <c r="G1778" t="s">
        <v>318</v>
      </c>
      <c r="H1778" t="s">
        <v>443</v>
      </c>
      <c r="I1778" t="s">
        <v>490</v>
      </c>
      <c r="J1778" t="s">
        <v>491</v>
      </c>
    </row>
    <row r="1779" spans="1:10" hidden="1" x14ac:dyDescent="0.25">
      <c r="A1779" t="s">
        <v>198</v>
      </c>
      <c r="B1779" t="s">
        <v>6</v>
      </c>
      <c r="C1779" t="s">
        <v>7</v>
      </c>
      <c r="D1779" t="s">
        <v>10</v>
      </c>
      <c r="E1779" s="2">
        <v>43336.216666666667</v>
      </c>
      <c r="F1779" t="s">
        <v>302</v>
      </c>
      <c r="G1779" t="s">
        <v>456</v>
      </c>
      <c r="H1779" t="s">
        <v>454</v>
      </c>
      <c r="I1779" t="s">
        <v>497</v>
      </c>
      <c r="J1779" t="s">
        <v>497</v>
      </c>
    </row>
    <row r="1780" spans="1:10" hidden="1" x14ac:dyDescent="0.25">
      <c r="A1780" t="s">
        <v>415</v>
      </c>
      <c r="B1780" t="s">
        <v>6</v>
      </c>
      <c r="C1780" t="s">
        <v>7</v>
      </c>
      <c r="D1780" t="s">
        <v>10</v>
      </c>
      <c r="E1780" s="2">
        <v>43336.21671296296</v>
      </c>
      <c r="F1780" t="s">
        <v>298</v>
      </c>
      <c r="G1780" t="s">
        <v>318</v>
      </c>
      <c r="H1780" t="s">
        <v>462</v>
      </c>
      <c r="I1780" t="s">
        <v>581</v>
      </c>
      <c r="J1780" t="s">
        <v>581</v>
      </c>
    </row>
    <row r="1781" spans="1:10" hidden="1" x14ac:dyDescent="0.25">
      <c r="A1781" t="s">
        <v>213</v>
      </c>
      <c r="B1781" t="s">
        <v>6</v>
      </c>
      <c r="C1781" t="s">
        <v>7</v>
      </c>
      <c r="D1781" t="s">
        <v>476</v>
      </c>
      <c r="E1781" s="2">
        <v>43336.216886574075</v>
      </c>
      <c r="F1781" t="s">
        <v>303</v>
      </c>
      <c r="G1781" t="s">
        <v>429</v>
      </c>
      <c r="H1781" t="s">
        <v>431</v>
      </c>
      <c r="I1781" t="s">
        <v>494</v>
      </c>
      <c r="J1781" t="s">
        <v>501</v>
      </c>
    </row>
    <row r="1782" spans="1:10" hidden="1" x14ac:dyDescent="0.25">
      <c r="A1782" t="s">
        <v>197</v>
      </c>
      <c r="B1782" t="s">
        <v>6</v>
      </c>
      <c r="C1782" t="s">
        <v>7</v>
      </c>
      <c r="D1782" t="s">
        <v>10</v>
      </c>
      <c r="E1782" s="2">
        <v>43336.217291666668</v>
      </c>
      <c r="F1782" t="s">
        <v>302</v>
      </c>
      <c r="G1782" t="s">
        <v>456</v>
      </c>
      <c r="H1782" t="s">
        <v>455</v>
      </c>
      <c r="I1782" t="s">
        <v>497</v>
      </c>
      <c r="J1782" t="s">
        <v>497</v>
      </c>
    </row>
    <row r="1783" spans="1:10" hidden="1" x14ac:dyDescent="0.25">
      <c r="A1783" t="s">
        <v>420</v>
      </c>
      <c r="B1783" t="s">
        <v>6</v>
      </c>
      <c r="C1783" t="s">
        <v>7</v>
      </c>
      <c r="D1783" t="s">
        <v>10</v>
      </c>
      <c r="E1783" s="2">
        <v>43336.217303240737</v>
      </c>
      <c r="F1783" t="s">
        <v>586</v>
      </c>
      <c r="G1783" t="s">
        <v>318</v>
      </c>
      <c r="H1783" t="s">
        <v>444</v>
      </c>
      <c r="I1783" t="s">
        <v>490</v>
      </c>
      <c r="J1783" t="s">
        <v>491</v>
      </c>
    </row>
    <row r="1784" spans="1:10" hidden="1" x14ac:dyDescent="0.25">
      <c r="A1784" t="s">
        <v>212</v>
      </c>
      <c r="B1784" t="s">
        <v>6</v>
      </c>
      <c r="C1784" t="s">
        <v>7</v>
      </c>
      <c r="D1784" t="s">
        <v>10</v>
      </c>
      <c r="E1784" s="2">
        <v>43336.217523148145</v>
      </c>
      <c r="F1784" t="s">
        <v>303</v>
      </c>
      <c r="G1784" t="s">
        <v>429</v>
      </c>
      <c r="H1784" t="s">
        <v>432</v>
      </c>
      <c r="I1784" t="s">
        <v>494</v>
      </c>
      <c r="J1784" t="s">
        <v>501</v>
      </c>
    </row>
    <row r="1785" spans="1:10" hidden="1" x14ac:dyDescent="0.25">
      <c r="A1785" t="s">
        <v>258</v>
      </c>
      <c r="B1785" t="s">
        <v>6</v>
      </c>
      <c r="C1785" t="s">
        <v>7</v>
      </c>
      <c r="D1785" t="s">
        <v>10</v>
      </c>
      <c r="E1785" s="2">
        <v>43336.217905092592</v>
      </c>
      <c r="F1785" t="s">
        <v>302</v>
      </c>
      <c r="G1785" t="s">
        <v>456</v>
      </c>
      <c r="H1785" t="s">
        <v>456</v>
      </c>
      <c r="I1785" t="s">
        <v>497</v>
      </c>
      <c r="J1785" t="s">
        <v>497</v>
      </c>
    </row>
    <row r="1786" spans="1:10" hidden="1" x14ac:dyDescent="0.25">
      <c r="A1786" t="s">
        <v>421</v>
      </c>
      <c r="B1786" t="s">
        <v>6</v>
      </c>
      <c r="C1786" t="s">
        <v>7</v>
      </c>
      <c r="D1786" t="s">
        <v>10</v>
      </c>
      <c r="E1786" s="2">
        <v>43336.217916666668</v>
      </c>
      <c r="F1786" t="s">
        <v>586</v>
      </c>
      <c r="G1786" t="s">
        <v>318</v>
      </c>
      <c r="H1786" t="s">
        <v>445</v>
      </c>
      <c r="I1786" t="s">
        <v>490</v>
      </c>
      <c r="J1786" t="s">
        <v>491</v>
      </c>
    </row>
    <row r="1787" spans="1:10" hidden="1" x14ac:dyDescent="0.25">
      <c r="A1787" t="s">
        <v>15</v>
      </c>
      <c r="B1787" t="s">
        <v>6</v>
      </c>
      <c r="C1787" t="s">
        <v>7</v>
      </c>
      <c r="D1787" t="s">
        <v>484</v>
      </c>
      <c r="E1787" s="2">
        <v>43336.218101851853</v>
      </c>
      <c r="F1787" t="s">
        <v>298</v>
      </c>
      <c r="G1787" t="s">
        <v>318</v>
      </c>
      <c r="H1787" t="s">
        <v>453</v>
      </c>
      <c r="I1787" t="s">
        <v>541</v>
      </c>
      <c r="J1787" t="s">
        <v>542</v>
      </c>
    </row>
    <row r="1788" spans="1:10" hidden="1" x14ac:dyDescent="0.25">
      <c r="A1788" t="s">
        <v>286</v>
      </c>
      <c r="B1788" t="s">
        <v>6</v>
      </c>
      <c r="C1788" t="s">
        <v>7</v>
      </c>
      <c r="D1788" t="s">
        <v>476</v>
      </c>
      <c r="E1788" s="2">
        <v>43336.218136574076</v>
      </c>
      <c r="F1788" t="s">
        <v>303</v>
      </c>
      <c r="G1788" t="s">
        <v>429</v>
      </c>
      <c r="H1788" t="s">
        <v>433</v>
      </c>
      <c r="I1788" t="s">
        <v>494</v>
      </c>
      <c r="J1788" t="s">
        <v>501</v>
      </c>
    </row>
    <row r="1789" spans="1:10" hidden="1" x14ac:dyDescent="0.25">
      <c r="A1789" t="s">
        <v>194</v>
      </c>
      <c r="B1789" t="s">
        <v>6</v>
      </c>
      <c r="C1789" t="s">
        <v>7</v>
      </c>
      <c r="D1789" t="s">
        <v>10</v>
      </c>
      <c r="E1789" s="2">
        <v>43336.218518518515</v>
      </c>
      <c r="F1789" t="s">
        <v>302</v>
      </c>
      <c r="G1789" t="s">
        <v>456</v>
      </c>
      <c r="H1789" t="s">
        <v>426</v>
      </c>
      <c r="I1789" t="s">
        <v>497</v>
      </c>
      <c r="J1789" t="s">
        <v>497</v>
      </c>
    </row>
    <row r="1790" spans="1:10" hidden="1" x14ac:dyDescent="0.25">
      <c r="A1790" t="s">
        <v>390</v>
      </c>
      <c r="B1790" t="s">
        <v>6</v>
      </c>
      <c r="C1790" t="s">
        <v>7</v>
      </c>
      <c r="D1790" t="s">
        <v>10</v>
      </c>
      <c r="E1790" s="2">
        <v>43336.218541666669</v>
      </c>
      <c r="F1790" t="s">
        <v>586</v>
      </c>
      <c r="G1790" t="s">
        <v>318</v>
      </c>
      <c r="H1790" t="s">
        <v>446</v>
      </c>
      <c r="I1790" t="s">
        <v>490</v>
      </c>
      <c r="J1790" t="s">
        <v>491</v>
      </c>
    </row>
    <row r="1791" spans="1:10" hidden="1" x14ac:dyDescent="0.25">
      <c r="A1791" t="s">
        <v>159</v>
      </c>
      <c r="B1791" t="s">
        <v>6</v>
      </c>
      <c r="C1791" t="s">
        <v>7</v>
      </c>
      <c r="D1791" t="s">
        <v>10</v>
      </c>
      <c r="E1791" s="2">
        <v>43336.218715277777</v>
      </c>
      <c r="F1791" t="s">
        <v>298</v>
      </c>
      <c r="G1791" t="s">
        <v>318</v>
      </c>
      <c r="H1791" t="s">
        <v>454</v>
      </c>
      <c r="I1791" t="s">
        <v>492</v>
      </c>
      <c r="J1791" t="s">
        <v>493</v>
      </c>
    </row>
    <row r="1792" spans="1:10" hidden="1" x14ac:dyDescent="0.25">
      <c r="A1792" t="s">
        <v>189</v>
      </c>
      <c r="B1792" t="s">
        <v>6</v>
      </c>
      <c r="C1792" t="s">
        <v>7</v>
      </c>
      <c r="D1792" t="s">
        <v>10</v>
      </c>
      <c r="E1792" s="2">
        <v>43336.21875</v>
      </c>
      <c r="F1792" t="s">
        <v>303</v>
      </c>
      <c r="G1792" t="s">
        <v>429</v>
      </c>
      <c r="H1792" t="s">
        <v>434</v>
      </c>
      <c r="I1792" t="s">
        <v>494</v>
      </c>
      <c r="J1792" t="s">
        <v>501</v>
      </c>
    </row>
    <row r="1793" spans="1:10" hidden="1" x14ac:dyDescent="0.25">
      <c r="A1793" t="s">
        <v>259</v>
      </c>
      <c r="B1793" t="s">
        <v>6</v>
      </c>
      <c r="C1793" t="s">
        <v>7</v>
      </c>
      <c r="D1793" t="s">
        <v>10</v>
      </c>
      <c r="E1793" s="2">
        <v>43336.219131944446</v>
      </c>
      <c r="F1793" t="s">
        <v>302</v>
      </c>
      <c r="G1793" t="s">
        <v>456</v>
      </c>
      <c r="H1793" t="s">
        <v>427</v>
      </c>
      <c r="I1793" t="s">
        <v>497</v>
      </c>
      <c r="J1793" t="s">
        <v>497</v>
      </c>
    </row>
    <row r="1794" spans="1:10" hidden="1" x14ac:dyDescent="0.25">
      <c r="A1794" t="s">
        <v>391</v>
      </c>
      <c r="B1794" t="s">
        <v>6</v>
      </c>
      <c r="C1794" t="s">
        <v>7</v>
      </c>
      <c r="D1794" t="s">
        <v>10</v>
      </c>
      <c r="E1794" s="2">
        <v>43336.219166666669</v>
      </c>
      <c r="F1794" t="s">
        <v>586</v>
      </c>
      <c r="G1794" t="s">
        <v>318</v>
      </c>
      <c r="H1794" t="s">
        <v>447</v>
      </c>
      <c r="I1794" t="s">
        <v>490</v>
      </c>
      <c r="J1794" t="s">
        <v>491</v>
      </c>
    </row>
    <row r="1795" spans="1:10" hidden="1" x14ac:dyDescent="0.25">
      <c r="A1795" t="s">
        <v>211</v>
      </c>
      <c r="B1795" t="s">
        <v>6</v>
      </c>
      <c r="C1795" t="s">
        <v>7</v>
      </c>
      <c r="D1795" t="s">
        <v>476</v>
      </c>
      <c r="E1795" s="2">
        <v>43336.219363425924</v>
      </c>
      <c r="F1795" t="s">
        <v>303</v>
      </c>
      <c r="G1795" t="s">
        <v>429</v>
      </c>
      <c r="H1795" t="s">
        <v>435</v>
      </c>
      <c r="I1795" t="s">
        <v>494</v>
      </c>
      <c r="J1795" t="s">
        <v>501</v>
      </c>
    </row>
    <row r="1796" spans="1:10" hidden="1" x14ac:dyDescent="0.25">
      <c r="A1796" t="s">
        <v>193</v>
      </c>
      <c r="B1796" t="s">
        <v>6</v>
      </c>
      <c r="C1796" t="s">
        <v>7</v>
      </c>
      <c r="D1796" t="s">
        <v>476</v>
      </c>
      <c r="E1796" s="2">
        <v>43336.219722222224</v>
      </c>
      <c r="F1796" t="s">
        <v>302</v>
      </c>
      <c r="G1796" t="s">
        <v>456</v>
      </c>
      <c r="H1796" t="s">
        <v>428</v>
      </c>
      <c r="I1796" t="s">
        <v>497</v>
      </c>
      <c r="J1796" t="s">
        <v>497</v>
      </c>
    </row>
    <row r="1797" spans="1:10" hidden="1" x14ac:dyDescent="0.25">
      <c r="A1797" t="s">
        <v>364</v>
      </c>
      <c r="B1797" t="s">
        <v>6</v>
      </c>
      <c r="C1797" t="s">
        <v>7</v>
      </c>
      <c r="D1797" t="s">
        <v>27</v>
      </c>
      <c r="E1797" s="2">
        <v>43336.219907407409</v>
      </c>
      <c r="F1797" t="s">
        <v>586</v>
      </c>
      <c r="G1797" t="s">
        <v>318</v>
      </c>
      <c r="H1797" t="s">
        <v>448</v>
      </c>
      <c r="I1797" t="s">
        <v>490</v>
      </c>
      <c r="J1797" t="s">
        <v>491</v>
      </c>
    </row>
    <row r="1798" spans="1:10" hidden="1" x14ac:dyDescent="0.25">
      <c r="A1798" t="s">
        <v>141</v>
      </c>
      <c r="B1798" t="s">
        <v>6</v>
      </c>
      <c r="C1798" t="s">
        <v>7</v>
      </c>
      <c r="D1798" t="s">
        <v>10</v>
      </c>
      <c r="E1798" s="2">
        <v>43336.22</v>
      </c>
      <c r="F1798" t="s">
        <v>303</v>
      </c>
      <c r="G1798" t="s">
        <v>429</v>
      </c>
      <c r="H1798" t="s">
        <v>436</v>
      </c>
      <c r="I1798" t="s">
        <v>494</v>
      </c>
      <c r="J1798" t="s">
        <v>501</v>
      </c>
    </row>
    <row r="1799" spans="1:10" hidden="1" x14ac:dyDescent="0.25">
      <c r="A1799" t="s">
        <v>166</v>
      </c>
      <c r="B1799" t="s">
        <v>6</v>
      </c>
      <c r="C1799" t="s">
        <v>7</v>
      </c>
      <c r="D1799" t="s">
        <v>8</v>
      </c>
      <c r="E1799" s="2">
        <v>43336.220081018517</v>
      </c>
      <c r="F1799" t="s">
        <v>298</v>
      </c>
      <c r="G1799" t="s">
        <v>318</v>
      </c>
      <c r="H1799" t="s">
        <v>455</v>
      </c>
      <c r="I1799" t="s">
        <v>492</v>
      </c>
      <c r="J1799" t="s">
        <v>493</v>
      </c>
    </row>
    <row r="1800" spans="1:10" hidden="1" x14ac:dyDescent="0.25">
      <c r="A1800" t="s">
        <v>190</v>
      </c>
      <c r="B1800" t="s">
        <v>6</v>
      </c>
      <c r="C1800" t="s">
        <v>7</v>
      </c>
      <c r="D1800" t="s">
        <v>476</v>
      </c>
      <c r="E1800" s="2">
        <v>43336.220324074071</v>
      </c>
      <c r="F1800" t="s">
        <v>302</v>
      </c>
      <c r="G1800" t="s">
        <v>456</v>
      </c>
      <c r="H1800" t="s">
        <v>429</v>
      </c>
      <c r="I1800" t="s">
        <v>497</v>
      </c>
      <c r="J1800" t="s">
        <v>497</v>
      </c>
    </row>
    <row r="1801" spans="1:10" hidden="1" x14ac:dyDescent="0.25">
      <c r="A1801" t="s">
        <v>127</v>
      </c>
      <c r="B1801" t="s">
        <v>6</v>
      </c>
      <c r="C1801" t="s">
        <v>7</v>
      </c>
      <c r="D1801" t="s">
        <v>10</v>
      </c>
      <c r="E1801" s="2">
        <v>43336.220636574071</v>
      </c>
      <c r="F1801" t="s">
        <v>303</v>
      </c>
      <c r="G1801" t="s">
        <v>429</v>
      </c>
      <c r="H1801" t="s">
        <v>437</v>
      </c>
      <c r="I1801" t="s">
        <v>494</v>
      </c>
      <c r="J1801" t="s">
        <v>501</v>
      </c>
    </row>
    <row r="1802" spans="1:10" hidden="1" x14ac:dyDescent="0.25">
      <c r="A1802" t="s">
        <v>386</v>
      </c>
      <c r="B1802" t="s">
        <v>6</v>
      </c>
      <c r="C1802" t="s">
        <v>7</v>
      </c>
      <c r="D1802" t="s">
        <v>27</v>
      </c>
      <c r="E1802" s="2">
        <v>43336.220659722225</v>
      </c>
      <c r="F1802" t="s">
        <v>586</v>
      </c>
      <c r="G1802" t="s">
        <v>318</v>
      </c>
      <c r="H1802" t="s">
        <v>449</v>
      </c>
      <c r="I1802" t="s">
        <v>490</v>
      </c>
      <c r="J1802" t="s">
        <v>491</v>
      </c>
    </row>
    <row r="1803" spans="1:10" hidden="1" x14ac:dyDescent="0.25">
      <c r="A1803" t="s">
        <v>180</v>
      </c>
      <c r="B1803" t="s">
        <v>6</v>
      </c>
      <c r="C1803" t="s">
        <v>7</v>
      </c>
      <c r="D1803" t="s">
        <v>10</v>
      </c>
      <c r="E1803" s="2">
        <v>43336.220694444448</v>
      </c>
      <c r="F1803" t="s">
        <v>298</v>
      </c>
      <c r="G1803" t="s">
        <v>318</v>
      </c>
      <c r="H1803" t="s">
        <v>456</v>
      </c>
      <c r="I1803" t="s">
        <v>492</v>
      </c>
      <c r="J1803" t="s">
        <v>493</v>
      </c>
    </row>
    <row r="1804" spans="1:10" hidden="1" x14ac:dyDescent="0.25">
      <c r="A1804" t="s">
        <v>188</v>
      </c>
      <c r="B1804" t="s">
        <v>6</v>
      </c>
      <c r="C1804" t="s">
        <v>7</v>
      </c>
      <c r="D1804" t="s">
        <v>476</v>
      </c>
      <c r="E1804" s="2">
        <v>43336.220914351848</v>
      </c>
      <c r="F1804" t="s">
        <v>302</v>
      </c>
      <c r="G1804" t="s">
        <v>456</v>
      </c>
      <c r="H1804" t="s">
        <v>430</v>
      </c>
      <c r="I1804" t="s">
        <v>497</v>
      </c>
      <c r="J1804" t="s">
        <v>497</v>
      </c>
    </row>
    <row r="1805" spans="1:10" hidden="1" x14ac:dyDescent="0.25">
      <c r="A1805" t="s">
        <v>210</v>
      </c>
      <c r="B1805" t="s">
        <v>6</v>
      </c>
      <c r="C1805" t="s">
        <v>7</v>
      </c>
      <c r="D1805" t="s">
        <v>10</v>
      </c>
      <c r="E1805" s="2">
        <v>43336.221261574072</v>
      </c>
      <c r="F1805" t="s">
        <v>303</v>
      </c>
      <c r="G1805" t="s">
        <v>429</v>
      </c>
      <c r="H1805" t="s">
        <v>438</v>
      </c>
      <c r="I1805" t="s">
        <v>494</v>
      </c>
      <c r="J1805" t="s">
        <v>501</v>
      </c>
    </row>
    <row r="1806" spans="1:10" hidden="1" x14ac:dyDescent="0.25">
      <c r="A1806" t="s">
        <v>160</v>
      </c>
      <c r="B1806" t="s">
        <v>6</v>
      </c>
      <c r="C1806" t="s">
        <v>7</v>
      </c>
      <c r="D1806" t="s">
        <v>10</v>
      </c>
      <c r="E1806" s="2">
        <v>43336.221284722225</v>
      </c>
      <c r="F1806" t="s">
        <v>298</v>
      </c>
      <c r="G1806" t="s">
        <v>318</v>
      </c>
      <c r="H1806" t="s">
        <v>426</v>
      </c>
      <c r="I1806" t="s">
        <v>492</v>
      </c>
      <c r="J1806" t="s">
        <v>493</v>
      </c>
    </row>
    <row r="1807" spans="1:10" hidden="1" x14ac:dyDescent="0.25">
      <c r="A1807" t="s">
        <v>392</v>
      </c>
      <c r="B1807" t="s">
        <v>6</v>
      </c>
      <c r="C1807" t="s">
        <v>7</v>
      </c>
      <c r="D1807" t="s">
        <v>27</v>
      </c>
      <c r="E1807" s="2">
        <v>43336.221400462964</v>
      </c>
      <c r="F1807" t="s">
        <v>586</v>
      </c>
      <c r="G1807" t="s">
        <v>318</v>
      </c>
      <c r="H1807" t="s">
        <v>450</v>
      </c>
      <c r="I1807" t="s">
        <v>490</v>
      </c>
      <c r="J1807" t="s">
        <v>491</v>
      </c>
    </row>
    <row r="1808" spans="1:10" hidden="1" x14ac:dyDescent="0.25">
      <c r="A1808" t="s">
        <v>260</v>
      </c>
      <c r="B1808" t="s">
        <v>6</v>
      </c>
      <c r="C1808" t="s">
        <v>7</v>
      </c>
      <c r="D1808" t="s">
        <v>476</v>
      </c>
      <c r="E1808" s="2">
        <v>43336.221493055556</v>
      </c>
      <c r="F1808" t="s">
        <v>302</v>
      </c>
      <c r="G1808" t="s">
        <v>456</v>
      </c>
      <c r="H1808" t="s">
        <v>431</v>
      </c>
      <c r="I1808" t="s">
        <v>528</v>
      </c>
      <c r="J1808" t="s">
        <v>529</v>
      </c>
    </row>
    <row r="1809" spans="1:10" hidden="1" x14ac:dyDescent="0.25">
      <c r="A1809" t="s">
        <v>209</v>
      </c>
      <c r="B1809" t="s">
        <v>6</v>
      </c>
      <c r="C1809" t="s">
        <v>7</v>
      </c>
      <c r="D1809" t="s">
        <v>10</v>
      </c>
      <c r="E1809" s="2">
        <v>43336.221898148149</v>
      </c>
      <c r="F1809" t="s">
        <v>303</v>
      </c>
      <c r="G1809" t="s">
        <v>429</v>
      </c>
      <c r="H1809" t="s">
        <v>439</v>
      </c>
      <c r="I1809" t="s">
        <v>494</v>
      </c>
      <c r="J1809" t="s">
        <v>501</v>
      </c>
    </row>
    <row r="1810" spans="1:10" hidden="1" x14ac:dyDescent="0.25">
      <c r="A1810" t="s">
        <v>157</v>
      </c>
      <c r="B1810" t="s">
        <v>6</v>
      </c>
      <c r="C1810" t="s">
        <v>7</v>
      </c>
      <c r="D1810" t="s">
        <v>13</v>
      </c>
      <c r="E1810" s="2">
        <v>43336.221990740742</v>
      </c>
      <c r="F1810" t="s">
        <v>298</v>
      </c>
      <c r="G1810" t="s">
        <v>318</v>
      </c>
      <c r="H1810" t="s">
        <v>427</v>
      </c>
      <c r="I1810" t="s">
        <v>13</v>
      </c>
      <c r="J1810" t="s">
        <v>535</v>
      </c>
    </row>
    <row r="1811" spans="1:10" hidden="1" x14ac:dyDescent="0.25">
      <c r="A1811" t="s">
        <v>393</v>
      </c>
      <c r="B1811" t="s">
        <v>6</v>
      </c>
      <c r="C1811" t="s">
        <v>7</v>
      </c>
      <c r="D1811" t="s">
        <v>10</v>
      </c>
      <c r="E1811" s="2">
        <v>43336.222037037034</v>
      </c>
      <c r="F1811" t="s">
        <v>586</v>
      </c>
      <c r="G1811" t="s">
        <v>318</v>
      </c>
      <c r="H1811" t="s">
        <v>451</v>
      </c>
      <c r="I1811" t="s">
        <v>490</v>
      </c>
      <c r="J1811" t="s">
        <v>491</v>
      </c>
    </row>
    <row r="1812" spans="1:10" hidden="1" x14ac:dyDescent="0.25">
      <c r="A1812" t="s">
        <v>196</v>
      </c>
      <c r="B1812" t="s">
        <v>6</v>
      </c>
      <c r="C1812" t="s">
        <v>7</v>
      </c>
      <c r="D1812" t="s">
        <v>10</v>
      </c>
      <c r="E1812" s="2">
        <v>43336.222094907411</v>
      </c>
      <c r="F1812" t="s">
        <v>302</v>
      </c>
      <c r="G1812" t="s">
        <v>456</v>
      </c>
      <c r="H1812" t="s">
        <v>432</v>
      </c>
      <c r="I1812" t="s">
        <v>528</v>
      </c>
      <c r="J1812" t="s">
        <v>529</v>
      </c>
    </row>
    <row r="1813" spans="1:10" hidden="1" x14ac:dyDescent="0.25">
      <c r="A1813" t="s">
        <v>179</v>
      </c>
      <c r="B1813" t="s">
        <v>6</v>
      </c>
      <c r="C1813" t="s">
        <v>7</v>
      </c>
      <c r="D1813" t="s">
        <v>10</v>
      </c>
      <c r="E1813" s="2">
        <v>43336.222511574073</v>
      </c>
      <c r="F1813" t="s">
        <v>303</v>
      </c>
      <c r="G1813" t="s">
        <v>429</v>
      </c>
      <c r="H1813" t="s">
        <v>440</v>
      </c>
      <c r="I1813" t="s">
        <v>494</v>
      </c>
      <c r="J1813" t="s">
        <v>501</v>
      </c>
    </row>
    <row r="1814" spans="1:10" hidden="1" x14ac:dyDescent="0.25">
      <c r="A1814" t="s">
        <v>394</v>
      </c>
      <c r="B1814" t="s">
        <v>6</v>
      </c>
      <c r="C1814" t="s">
        <v>7</v>
      </c>
      <c r="D1814" t="s">
        <v>10</v>
      </c>
      <c r="E1814" s="2">
        <v>43336.222650462965</v>
      </c>
      <c r="F1814" t="s">
        <v>586</v>
      </c>
      <c r="G1814" t="s">
        <v>318</v>
      </c>
      <c r="H1814" t="s">
        <v>452</v>
      </c>
      <c r="I1814" t="s">
        <v>490</v>
      </c>
      <c r="J1814" t="s">
        <v>491</v>
      </c>
    </row>
    <row r="1815" spans="1:10" hidden="1" x14ac:dyDescent="0.25">
      <c r="A1815" t="s">
        <v>261</v>
      </c>
      <c r="B1815" t="s">
        <v>6</v>
      </c>
      <c r="C1815" t="s">
        <v>7</v>
      </c>
      <c r="D1815" t="s">
        <v>10</v>
      </c>
      <c r="E1815" s="2">
        <v>43336.222685185188</v>
      </c>
      <c r="F1815" t="s">
        <v>302</v>
      </c>
      <c r="G1815" t="s">
        <v>456</v>
      </c>
      <c r="H1815" t="s">
        <v>433</v>
      </c>
      <c r="I1815" t="s">
        <v>528</v>
      </c>
      <c r="J1815" t="s">
        <v>529</v>
      </c>
    </row>
    <row r="1816" spans="1:10" hidden="1" x14ac:dyDescent="0.25">
      <c r="A1816" t="s">
        <v>177</v>
      </c>
      <c r="B1816" t="s">
        <v>6</v>
      </c>
      <c r="C1816" t="s">
        <v>7</v>
      </c>
      <c r="D1816" t="s">
        <v>10</v>
      </c>
      <c r="E1816" s="2">
        <v>43336.22314814815</v>
      </c>
      <c r="F1816" t="s">
        <v>303</v>
      </c>
      <c r="G1816" t="s">
        <v>429</v>
      </c>
      <c r="H1816" t="s">
        <v>441</v>
      </c>
      <c r="I1816" t="s">
        <v>494</v>
      </c>
      <c r="J1816" t="s">
        <v>501</v>
      </c>
    </row>
    <row r="1817" spans="1:10" hidden="1" x14ac:dyDescent="0.25">
      <c r="A1817" t="s">
        <v>187</v>
      </c>
      <c r="B1817" t="s">
        <v>6</v>
      </c>
      <c r="C1817" t="s">
        <v>7</v>
      </c>
      <c r="D1817" t="s">
        <v>10</v>
      </c>
      <c r="E1817" s="2">
        <v>43336.223287037035</v>
      </c>
      <c r="F1817" t="s">
        <v>302</v>
      </c>
      <c r="G1817" t="s">
        <v>456</v>
      </c>
      <c r="H1817" t="s">
        <v>434</v>
      </c>
      <c r="I1817" t="s">
        <v>528</v>
      </c>
      <c r="J1817" t="s">
        <v>529</v>
      </c>
    </row>
    <row r="1818" spans="1:10" hidden="1" x14ac:dyDescent="0.25">
      <c r="A1818" t="s">
        <v>222</v>
      </c>
      <c r="B1818" t="s">
        <v>6</v>
      </c>
      <c r="C1818" t="s">
        <v>7</v>
      </c>
      <c r="D1818" t="s">
        <v>484</v>
      </c>
      <c r="E1818" s="2">
        <v>43336.223402777781</v>
      </c>
      <c r="F1818" t="s">
        <v>298</v>
      </c>
      <c r="G1818" t="s">
        <v>318</v>
      </c>
      <c r="H1818" t="s">
        <v>428</v>
      </c>
      <c r="I1818" t="s">
        <v>13</v>
      </c>
      <c r="J1818" t="s">
        <v>532</v>
      </c>
    </row>
    <row r="1819" spans="1:10" hidden="1" x14ac:dyDescent="0.25">
      <c r="A1819" t="s">
        <v>287</v>
      </c>
      <c r="B1819" t="s">
        <v>6</v>
      </c>
      <c r="C1819" t="s">
        <v>7</v>
      </c>
      <c r="D1819" t="s">
        <v>476</v>
      </c>
      <c r="E1819" s="2">
        <v>43336.223761574074</v>
      </c>
      <c r="F1819" t="s">
        <v>303</v>
      </c>
      <c r="G1819" t="s">
        <v>429</v>
      </c>
      <c r="H1819" t="s">
        <v>442</v>
      </c>
      <c r="I1819" t="s">
        <v>494</v>
      </c>
      <c r="J1819" t="s">
        <v>501</v>
      </c>
    </row>
    <row r="1820" spans="1:10" hidden="1" x14ac:dyDescent="0.25">
      <c r="A1820" t="s">
        <v>273</v>
      </c>
      <c r="B1820" t="s">
        <v>6</v>
      </c>
      <c r="C1820" t="s">
        <v>7</v>
      </c>
      <c r="D1820" t="s">
        <v>10</v>
      </c>
      <c r="E1820" s="2">
        <v>43336.223877314813</v>
      </c>
      <c r="F1820" t="s">
        <v>302</v>
      </c>
      <c r="G1820" t="s">
        <v>456</v>
      </c>
      <c r="H1820" t="s">
        <v>435</v>
      </c>
      <c r="I1820" t="s">
        <v>528</v>
      </c>
      <c r="J1820" t="s">
        <v>529</v>
      </c>
    </row>
    <row r="1821" spans="1:10" hidden="1" x14ac:dyDescent="0.25">
      <c r="A1821" t="s">
        <v>230</v>
      </c>
      <c r="B1821" t="s">
        <v>6</v>
      </c>
      <c r="C1821" t="s">
        <v>7</v>
      </c>
      <c r="D1821" t="s">
        <v>10</v>
      </c>
      <c r="E1821" s="2">
        <v>43336.224004629628</v>
      </c>
      <c r="F1821" t="s">
        <v>298</v>
      </c>
      <c r="G1821" t="s">
        <v>318</v>
      </c>
      <c r="H1821" t="s">
        <v>429</v>
      </c>
      <c r="I1821" t="s">
        <v>509</v>
      </c>
      <c r="J1821" t="s">
        <v>510</v>
      </c>
    </row>
    <row r="1822" spans="1:10" hidden="1" x14ac:dyDescent="0.25">
      <c r="A1822" t="s">
        <v>185</v>
      </c>
      <c r="B1822" t="s">
        <v>6</v>
      </c>
      <c r="C1822" t="s">
        <v>7</v>
      </c>
      <c r="D1822" t="s">
        <v>10</v>
      </c>
      <c r="E1822" s="2">
        <v>43336.224386574075</v>
      </c>
      <c r="F1822" t="s">
        <v>303</v>
      </c>
      <c r="G1822" t="s">
        <v>429</v>
      </c>
      <c r="H1822" t="s">
        <v>443</v>
      </c>
      <c r="I1822" t="s">
        <v>494</v>
      </c>
      <c r="J1822" t="s">
        <v>501</v>
      </c>
    </row>
    <row r="1823" spans="1:10" hidden="1" x14ac:dyDescent="0.25">
      <c r="A1823" t="s">
        <v>192</v>
      </c>
      <c r="B1823" t="s">
        <v>6</v>
      </c>
      <c r="C1823" t="s">
        <v>7</v>
      </c>
      <c r="D1823" t="s">
        <v>476</v>
      </c>
      <c r="E1823" s="2">
        <v>43336.224456018521</v>
      </c>
      <c r="F1823" t="s">
        <v>302</v>
      </c>
      <c r="G1823" t="s">
        <v>456</v>
      </c>
      <c r="H1823" t="s">
        <v>436</v>
      </c>
      <c r="I1823" t="s">
        <v>525</v>
      </c>
      <c r="J1823" t="s">
        <v>526</v>
      </c>
    </row>
    <row r="1824" spans="1:10" hidden="1" x14ac:dyDescent="0.25">
      <c r="A1824" t="s">
        <v>226</v>
      </c>
      <c r="B1824" t="s">
        <v>6</v>
      </c>
      <c r="C1824" t="s">
        <v>7</v>
      </c>
      <c r="D1824" t="s">
        <v>10</v>
      </c>
      <c r="E1824" s="2">
        <v>43336.224618055552</v>
      </c>
      <c r="F1824" t="s">
        <v>298</v>
      </c>
      <c r="G1824" t="s">
        <v>318</v>
      </c>
      <c r="H1824" t="s">
        <v>430</v>
      </c>
      <c r="I1824" t="s">
        <v>509</v>
      </c>
      <c r="J1824" t="s">
        <v>510</v>
      </c>
    </row>
    <row r="1825" spans="1:10" hidden="1" x14ac:dyDescent="0.25">
      <c r="A1825" t="s">
        <v>175</v>
      </c>
      <c r="B1825" t="s">
        <v>6</v>
      </c>
      <c r="C1825" t="s">
        <v>7</v>
      </c>
      <c r="D1825" t="s">
        <v>10</v>
      </c>
      <c r="E1825" s="2">
        <v>43336.225023148145</v>
      </c>
      <c r="F1825" t="s">
        <v>303</v>
      </c>
      <c r="G1825" t="s">
        <v>429</v>
      </c>
      <c r="H1825" t="s">
        <v>444</v>
      </c>
      <c r="I1825" t="s">
        <v>494</v>
      </c>
      <c r="J1825" t="s">
        <v>501</v>
      </c>
    </row>
    <row r="1826" spans="1:10" hidden="1" x14ac:dyDescent="0.25">
      <c r="A1826" t="s">
        <v>183</v>
      </c>
      <c r="B1826" t="s">
        <v>6</v>
      </c>
      <c r="C1826" t="s">
        <v>7</v>
      </c>
      <c r="D1826" t="s">
        <v>476</v>
      </c>
      <c r="E1826" s="2">
        <v>43336.225034722222</v>
      </c>
      <c r="F1826" t="s">
        <v>302</v>
      </c>
      <c r="G1826" t="s">
        <v>456</v>
      </c>
      <c r="H1826" t="s">
        <v>437</v>
      </c>
      <c r="I1826" t="s">
        <v>511</v>
      </c>
      <c r="J1826" t="s">
        <v>522</v>
      </c>
    </row>
    <row r="1827" spans="1:10" hidden="1" x14ac:dyDescent="0.25">
      <c r="A1827" t="s">
        <v>161</v>
      </c>
      <c r="B1827" t="s">
        <v>6</v>
      </c>
      <c r="C1827" t="s">
        <v>7</v>
      </c>
      <c r="D1827" t="s">
        <v>10</v>
      </c>
      <c r="E1827" s="2">
        <v>43336.225219907406</v>
      </c>
      <c r="F1827" t="s">
        <v>298</v>
      </c>
      <c r="G1827" t="s">
        <v>318</v>
      </c>
      <c r="H1827" t="s">
        <v>431</v>
      </c>
      <c r="I1827" t="s">
        <v>492</v>
      </c>
      <c r="J1827" t="s">
        <v>493</v>
      </c>
    </row>
    <row r="1828" spans="1:10" hidden="1" x14ac:dyDescent="0.25">
      <c r="A1828" t="s">
        <v>274</v>
      </c>
      <c r="B1828" t="s">
        <v>6</v>
      </c>
      <c r="C1828" t="s">
        <v>7</v>
      </c>
      <c r="D1828" t="s">
        <v>476</v>
      </c>
      <c r="E1828" s="2">
        <v>43336.225624999999</v>
      </c>
      <c r="F1828" t="s">
        <v>302</v>
      </c>
      <c r="G1828" t="s">
        <v>456</v>
      </c>
      <c r="H1828" t="s">
        <v>438</v>
      </c>
      <c r="I1828" t="s">
        <v>511</v>
      </c>
      <c r="J1828" t="s">
        <v>518</v>
      </c>
    </row>
    <row r="1829" spans="1:10" hidden="1" x14ac:dyDescent="0.25">
      <c r="A1829" t="s">
        <v>288</v>
      </c>
      <c r="B1829" t="s">
        <v>6</v>
      </c>
      <c r="C1829" t="s">
        <v>7</v>
      </c>
      <c r="D1829" t="s">
        <v>10</v>
      </c>
      <c r="E1829" s="2">
        <v>43336.225659722222</v>
      </c>
      <c r="F1829" t="s">
        <v>303</v>
      </c>
      <c r="G1829" t="s">
        <v>429</v>
      </c>
      <c r="H1829" t="s">
        <v>445</v>
      </c>
      <c r="I1829" t="s">
        <v>494</v>
      </c>
      <c r="J1829" t="s">
        <v>501</v>
      </c>
    </row>
    <row r="1830" spans="1:10" hidden="1" x14ac:dyDescent="0.25">
      <c r="A1830" t="s">
        <v>228</v>
      </c>
      <c r="B1830" t="s">
        <v>6</v>
      </c>
      <c r="C1830" t="s">
        <v>7</v>
      </c>
      <c r="D1830" t="s">
        <v>10</v>
      </c>
      <c r="E1830" s="2">
        <v>43336.22583333333</v>
      </c>
      <c r="F1830" t="s">
        <v>298</v>
      </c>
      <c r="G1830" t="s">
        <v>318</v>
      </c>
      <c r="H1830" t="s">
        <v>432</v>
      </c>
      <c r="I1830" t="s">
        <v>509</v>
      </c>
      <c r="J1830" t="s">
        <v>523</v>
      </c>
    </row>
    <row r="1831" spans="1:10" hidden="1" x14ac:dyDescent="0.25">
      <c r="A1831" t="s">
        <v>145</v>
      </c>
      <c r="B1831" t="s">
        <v>6</v>
      </c>
      <c r="C1831" t="s">
        <v>7</v>
      </c>
      <c r="D1831" t="s">
        <v>476</v>
      </c>
      <c r="E1831" s="2">
        <v>43336.226203703707</v>
      </c>
      <c r="F1831" t="s">
        <v>302</v>
      </c>
      <c r="G1831" t="s">
        <v>456</v>
      </c>
      <c r="H1831" t="s">
        <v>439</v>
      </c>
      <c r="I1831" t="s">
        <v>511</v>
      </c>
      <c r="J1831" t="s">
        <v>517</v>
      </c>
    </row>
    <row r="1832" spans="1:10" hidden="1" x14ac:dyDescent="0.25">
      <c r="A1832" t="s">
        <v>139</v>
      </c>
      <c r="B1832" t="s">
        <v>6</v>
      </c>
      <c r="C1832" t="s">
        <v>7</v>
      </c>
      <c r="D1832" t="s">
        <v>10</v>
      </c>
      <c r="E1832" s="2">
        <v>43336.226273148146</v>
      </c>
      <c r="F1832" t="s">
        <v>303</v>
      </c>
      <c r="G1832" t="s">
        <v>429</v>
      </c>
      <c r="H1832" t="s">
        <v>446</v>
      </c>
      <c r="I1832" t="s">
        <v>494</v>
      </c>
      <c r="J1832" t="s">
        <v>501</v>
      </c>
    </row>
    <row r="1833" spans="1:10" hidden="1" x14ac:dyDescent="0.25">
      <c r="A1833" t="s">
        <v>87</v>
      </c>
      <c r="B1833" t="s">
        <v>6</v>
      </c>
      <c r="C1833" t="s">
        <v>7</v>
      </c>
      <c r="D1833" t="s">
        <v>10</v>
      </c>
      <c r="E1833" s="2">
        <v>43336.226458333331</v>
      </c>
      <c r="F1833" t="s">
        <v>298</v>
      </c>
      <c r="G1833" t="s">
        <v>318</v>
      </c>
      <c r="H1833" t="s">
        <v>433</v>
      </c>
      <c r="I1833" t="s">
        <v>492</v>
      </c>
      <c r="J1833" t="s">
        <v>521</v>
      </c>
    </row>
    <row r="1834" spans="1:10" hidden="1" x14ac:dyDescent="0.25">
      <c r="A1834" t="s">
        <v>389</v>
      </c>
      <c r="B1834" t="s">
        <v>6</v>
      </c>
      <c r="C1834" t="s">
        <v>7</v>
      </c>
      <c r="D1834" t="s">
        <v>10</v>
      </c>
      <c r="E1834" s="2">
        <v>43336.226539351854</v>
      </c>
      <c r="F1834" t="s">
        <v>586</v>
      </c>
      <c r="G1834" t="s">
        <v>318</v>
      </c>
      <c r="H1834" t="s">
        <v>318</v>
      </c>
      <c r="I1834" t="s">
        <v>490</v>
      </c>
      <c r="J1834" t="s">
        <v>497</v>
      </c>
    </row>
    <row r="1835" spans="1:10" hidden="1" x14ac:dyDescent="0.25">
      <c r="A1835" t="s">
        <v>142</v>
      </c>
      <c r="B1835" t="s">
        <v>6</v>
      </c>
      <c r="C1835" t="s">
        <v>7</v>
      </c>
      <c r="D1835" t="s">
        <v>476</v>
      </c>
      <c r="E1835" s="2">
        <v>43336.226782407408</v>
      </c>
      <c r="F1835" t="s">
        <v>302</v>
      </c>
      <c r="G1835" t="s">
        <v>456</v>
      </c>
      <c r="H1835" t="s">
        <v>440</v>
      </c>
      <c r="I1835" t="s">
        <v>511</v>
      </c>
      <c r="J1835" t="s">
        <v>515</v>
      </c>
    </row>
    <row r="1836" spans="1:10" hidden="1" x14ac:dyDescent="0.25">
      <c r="A1836" t="s">
        <v>289</v>
      </c>
      <c r="B1836" t="s">
        <v>6</v>
      </c>
      <c r="C1836" t="s">
        <v>7</v>
      </c>
      <c r="D1836" t="s">
        <v>10</v>
      </c>
      <c r="E1836" s="2">
        <v>43336.226898148147</v>
      </c>
      <c r="F1836" t="s">
        <v>303</v>
      </c>
      <c r="G1836" t="s">
        <v>429</v>
      </c>
      <c r="H1836" t="s">
        <v>447</v>
      </c>
      <c r="I1836" t="s">
        <v>494</v>
      </c>
      <c r="J1836" t="s">
        <v>501</v>
      </c>
    </row>
    <row r="1837" spans="1:10" hidden="1" x14ac:dyDescent="0.25">
      <c r="A1837" t="s">
        <v>397</v>
      </c>
      <c r="B1837" t="s">
        <v>6</v>
      </c>
      <c r="C1837" t="s">
        <v>7</v>
      </c>
      <c r="D1837" t="s">
        <v>10</v>
      </c>
      <c r="E1837" s="2">
        <v>43336.227164351854</v>
      </c>
      <c r="F1837" t="s">
        <v>586</v>
      </c>
      <c r="G1837" t="s">
        <v>318</v>
      </c>
      <c r="H1837" t="s">
        <v>323</v>
      </c>
      <c r="I1837" t="s">
        <v>490</v>
      </c>
      <c r="J1837" t="s">
        <v>491</v>
      </c>
    </row>
    <row r="1838" spans="1:10" hidden="1" x14ac:dyDescent="0.25">
      <c r="A1838" t="s">
        <v>140</v>
      </c>
      <c r="B1838" t="s">
        <v>6</v>
      </c>
      <c r="C1838" t="s">
        <v>7</v>
      </c>
      <c r="D1838" t="s">
        <v>476</v>
      </c>
      <c r="E1838" s="2">
        <v>43336.227372685185</v>
      </c>
      <c r="F1838" t="s">
        <v>302</v>
      </c>
      <c r="G1838" t="s">
        <v>456</v>
      </c>
      <c r="H1838" t="s">
        <v>441</v>
      </c>
      <c r="I1838" t="s">
        <v>511</v>
      </c>
      <c r="J1838" t="s">
        <v>514</v>
      </c>
    </row>
    <row r="1839" spans="1:10" hidden="1" x14ac:dyDescent="0.25">
      <c r="A1839" t="s">
        <v>174</v>
      </c>
      <c r="B1839" t="s">
        <v>6</v>
      </c>
      <c r="C1839" t="s">
        <v>7</v>
      </c>
      <c r="D1839" t="s">
        <v>10</v>
      </c>
      <c r="E1839" s="2">
        <v>43336.227534722224</v>
      </c>
      <c r="F1839" t="s">
        <v>303</v>
      </c>
      <c r="G1839" t="s">
        <v>429</v>
      </c>
      <c r="H1839" t="s">
        <v>448</v>
      </c>
      <c r="I1839" t="s">
        <v>494</v>
      </c>
      <c r="J1839" t="s">
        <v>501</v>
      </c>
    </row>
    <row r="1840" spans="1:10" hidden="1" x14ac:dyDescent="0.25">
      <c r="A1840" t="s">
        <v>220</v>
      </c>
      <c r="B1840" t="s">
        <v>6</v>
      </c>
      <c r="C1840" t="s">
        <v>7</v>
      </c>
      <c r="D1840" t="s">
        <v>484</v>
      </c>
      <c r="E1840" s="2">
        <v>43336.227835648147</v>
      </c>
      <c r="F1840" t="s">
        <v>298</v>
      </c>
      <c r="G1840" t="s">
        <v>318</v>
      </c>
      <c r="H1840" t="s">
        <v>434</v>
      </c>
      <c r="I1840" t="s">
        <v>509</v>
      </c>
      <c r="J1840" t="s">
        <v>510</v>
      </c>
    </row>
    <row r="1841" spans="1:10" hidden="1" x14ac:dyDescent="0.25">
      <c r="A1841" t="s">
        <v>398</v>
      </c>
      <c r="B1841" t="s">
        <v>6</v>
      </c>
      <c r="C1841" t="s">
        <v>7</v>
      </c>
      <c r="D1841" t="s">
        <v>27</v>
      </c>
      <c r="E1841" s="2">
        <v>43336.227962962963</v>
      </c>
      <c r="F1841" t="s">
        <v>586</v>
      </c>
      <c r="G1841" t="s">
        <v>318</v>
      </c>
      <c r="H1841" t="s">
        <v>385</v>
      </c>
      <c r="I1841" t="s">
        <v>490</v>
      </c>
      <c r="J1841" t="s">
        <v>491</v>
      </c>
    </row>
    <row r="1842" spans="1:10" hidden="1" x14ac:dyDescent="0.25">
      <c r="A1842" t="s">
        <v>138</v>
      </c>
      <c r="B1842" t="s">
        <v>6</v>
      </c>
      <c r="C1842" t="s">
        <v>7</v>
      </c>
      <c r="D1842" t="s">
        <v>476</v>
      </c>
      <c r="E1842" s="2">
        <v>43336.227962962963</v>
      </c>
      <c r="F1842" t="s">
        <v>302</v>
      </c>
      <c r="G1842" t="s">
        <v>456</v>
      </c>
      <c r="H1842" t="s">
        <v>442</v>
      </c>
      <c r="I1842" t="s">
        <v>511</v>
      </c>
      <c r="J1842" t="s">
        <v>512</v>
      </c>
    </row>
    <row r="1843" spans="1:10" hidden="1" x14ac:dyDescent="0.25">
      <c r="A1843" t="s">
        <v>290</v>
      </c>
      <c r="B1843" t="s">
        <v>6</v>
      </c>
      <c r="C1843" t="s">
        <v>7</v>
      </c>
      <c r="D1843" t="s">
        <v>476</v>
      </c>
      <c r="E1843" s="2">
        <v>43336.228182870371</v>
      </c>
      <c r="F1843" t="s">
        <v>303</v>
      </c>
      <c r="G1843" t="s">
        <v>429</v>
      </c>
      <c r="H1843" t="s">
        <v>449</v>
      </c>
      <c r="I1843" t="s">
        <v>494</v>
      </c>
      <c r="J1843" t="s">
        <v>501</v>
      </c>
    </row>
    <row r="1844" spans="1:10" hidden="1" x14ac:dyDescent="0.25">
      <c r="A1844" t="s">
        <v>235</v>
      </c>
      <c r="B1844" t="s">
        <v>6</v>
      </c>
      <c r="C1844" t="s">
        <v>7</v>
      </c>
      <c r="D1844" t="s">
        <v>10</v>
      </c>
      <c r="E1844" s="2">
        <v>43336.22855324074</v>
      </c>
      <c r="F1844" t="s">
        <v>302</v>
      </c>
      <c r="G1844" t="s">
        <v>456</v>
      </c>
      <c r="H1844" t="s">
        <v>443</v>
      </c>
      <c r="I1844" t="s">
        <v>508</v>
      </c>
      <c r="J1844" t="s">
        <v>508</v>
      </c>
    </row>
    <row r="1845" spans="1:10" hidden="1" x14ac:dyDescent="0.25">
      <c r="A1845" t="s">
        <v>399</v>
      </c>
      <c r="B1845" t="s">
        <v>6</v>
      </c>
      <c r="C1845" t="s">
        <v>7</v>
      </c>
      <c r="D1845" t="s">
        <v>10</v>
      </c>
      <c r="E1845" s="2">
        <v>43336.228587962964</v>
      </c>
      <c r="F1845" t="s">
        <v>586</v>
      </c>
      <c r="G1845" t="s">
        <v>318</v>
      </c>
      <c r="H1845" t="s">
        <v>457</v>
      </c>
      <c r="I1845" t="s">
        <v>490</v>
      </c>
      <c r="J1845" t="s">
        <v>491</v>
      </c>
    </row>
    <row r="1846" spans="1:10" hidden="1" x14ac:dyDescent="0.25">
      <c r="A1846" t="s">
        <v>236</v>
      </c>
      <c r="B1846" t="s">
        <v>6</v>
      </c>
      <c r="C1846" t="s">
        <v>7</v>
      </c>
      <c r="D1846" t="s">
        <v>10</v>
      </c>
      <c r="E1846" s="2">
        <v>43336.228819444441</v>
      </c>
      <c r="F1846" t="s">
        <v>303</v>
      </c>
      <c r="G1846" t="s">
        <v>429</v>
      </c>
      <c r="H1846" t="s">
        <v>450</v>
      </c>
      <c r="I1846" t="s">
        <v>494</v>
      </c>
      <c r="J1846" t="s">
        <v>501</v>
      </c>
    </row>
    <row r="1847" spans="1:10" hidden="1" x14ac:dyDescent="0.25">
      <c r="A1847" t="s">
        <v>275</v>
      </c>
      <c r="B1847" t="s">
        <v>6</v>
      </c>
      <c r="C1847" t="s">
        <v>7</v>
      </c>
      <c r="D1847" t="s">
        <v>476</v>
      </c>
      <c r="E1847" s="2">
        <v>43336.229143518518</v>
      </c>
      <c r="F1847" t="s">
        <v>302</v>
      </c>
      <c r="G1847" t="s">
        <v>456</v>
      </c>
      <c r="H1847" t="s">
        <v>444</v>
      </c>
      <c r="I1847" t="s">
        <v>505</v>
      </c>
      <c r="J1847" t="s">
        <v>506</v>
      </c>
    </row>
    <row r="1848" spans="1:10" hidden="1" x14ac:dyDescent="0.25">
      <c r="A1848" t="s">
        <v>404</v>
      </c>
      <c r="B1848" t="s">
        <v>6</v>
      </c>
      <c r="C1848" t="s">
        <v>7</v>
      </c>
      <c r="D1848" t="s">
        <v>10</v>
      </c>
      <c r="E1848" s="2">
        <v>43336.22923611111</v>
      </c>
      <c r="F1848" t="s">
        <v>586</v>
      </c>
      <c r="G1848" t="s">
        <v>318</v>
      </c>
      <c r="H1848" t="s">
        <v>458</v>
      </c>
      <c r="I1848" t="s">
        <v>490</v>
      </c>
      <c r="J1848" t="s">
        <v>491</v>
      </c>
    </row>
    <row r="1849" spans="1:10" hidden="1" x14ac:dyDescent="0.25">
      <c r="A1849" t="s">
        <v>224</v>
      </c>
      <c r="B1849" t="s">
        <v>6</v>
      </c>
      <c r="C1849" t="s">
        <v>7</v>
      </c>
      <c r="D1849" t="s">
        <v>484</v>
      </c>
      <c r="E1849" s="2">
        <v>43336.229270833333</v>
      </c>
      <c r="F1849" t="s">
        <v>298</v>
      </c>
      <c r="G1849" t="s">
        <v>318</v>
      </c>
      <c r="H1849" t="s">
        <v>435</v>
      </c>
      <c r="I1849" t="s">
        <v>13</v>
      </c>
      <c r="J1849" t="s">
        <v>516</v>
      </c>
    </row>
    <row r="1850" spans="1:10" hidden="1" x14ac:dyDescent="0.25">
      <c r="A1850" t="s">
        <v>173</v>
      </c>
      <c r="B1850" t="s">
        <v>6</v>
      </c>
      <c r="C1850" t="s">
        <v>7</v>
      </c>
      <c r="D1850" t="s">
        <v>10</v>
      </c>
      <c r="E1850" s="2">
        <v>43336.229479166665</v>
      </c>
      <c r="F1850" t="s">
        <v>303</v>
      </c>
      <c r="G1850" t="s">
        <v>429</v>
      </c>
      <c r="H1850" t="s">
        <v>451</v>
      </c>
      <c r="I1850" t="s">
        <v>494</v>
      </c>
      <c r="J1850" t="s">
        <v>501</v>
      </c>
    </row>
    <row r="1851" spans="1:10" hidden="1" x14ac:dyDescent="0.25">
      <c r="A1851" t="s">
        <v>135</v>
      </c>
      <c r="B1851" t="s">
        <v>6</v>
      </c>
      <c r="C1851" t="s">
        <v>7</v>
      </c>
      <c r="D1851" t="s">
        <v>10</v>
      </c>
      <c r="E1851" s="2">
        <v>43336.229745370372</v>
      </c>
      <c r="F1851" t="s">
        <v>302</v>
      </c>
      <c r="G1851" t="s">
        <v>456</v>
      </c>
      <c r="H1851" t="s">
        <v>445</v>
      </c>
      <c r="I1851" t="s">
        <v>502</v>
      </c>
      <c r="J1851" t="s">
        <v>503</v>
      </c>
    </row>
    <row r="1852" spans="1:10" hidden="1" x14ac:dyDescent="0.25">
      <c r="A1852" t="s">
        <v>405</v>
      </c>
      <c r="B1852" t="s">
        <v>6</v>
      </c>
      <c r="C1852" t="s">
        <v>7</v>
      </c>
      <c r="D1852" t="s">
        <v>10</v>
      </c>
      <c r="E1852" s="2">
        <v>43336.229849537034</v>
      </c>
      <c r="F1852" t="s">
        <v>586</v>
      </c>
      <c r="G1852" t="s">
        <v>318</v>
      </c>
      <c r="H1852" t="s">
        <v>459</v>
      </c>
      <c r="I1852" t="s">
        <v>490</v>
      </c>
      <c r="J1852" t="s">
        <v>491</v>
      </c>
    </row>
    <row r="1853" spans="1:10" hidden="1" x14ac:dyDescent="0.25">
      <c r="A1853" t="s">
        <v>172</v>
      </c>
      <c r="B1853" t="s">
        <v>6</v>
      </c>
      <c r="C1853" t="s">
        <v>7</v>
      </c>
      <c r="D1853" t="s">
        <v>10</v>
      </c>
      <c r="E1853" s="2">
        <v>43336.230115740742</v>
      </c>
      <c r="F1853" t="s">
        <v>303</v>
      </c>
      <c r="G1853" t="s">
        <v>429</v>
      </c>
      <c r="H1853" t="s">
        <v>452</v>
      </c>
      <c r="I1853" t="s">
        <v>494</v>
      </c>
      <c r="J1853" t="s">
        <v>501</v>
      </c>
    </row>
    <row r="1854" spans="1:10" hidden="1" x14ac:dyDescent="0.25">
      <c r="A1854" t="s">
        <v>276</v>
      </c>
      <c r="B1854" t="s">
        <v>6</v>
      </c>
      <c r="C1854" t="s">
        <v>7</v>
      </c>
      <c r="D1854" t="s">
        <v>10</v>
      </c>
      <c r="E1854" s="2">
        <v>43336.23033564815</v>
      </c>
      <c r="F1854" t="s">
        <v>302</v>
      </c>
      <c r="G1854" t="s">
        <v>456</v>
      </c>
      <c r="H1854" t="s">
        <v>446</v>
      </c>
      <c r="I1854" t="s">
        <v>502</v>
      </c>
      <c r="J1854" t="s">
        <v>503</v>
      </c>
    </row>
    <row r="1855" spans="1:10" hidden="1" x14ac:dyDescent="0.25">
      <c r="A1855" t="s">
        <v>406</v>
      </c>
      <c r="B1855" t="s">
        <v>6</v>
      </c>
      <c r="C1855" t="s">
        <v>7</v>
      </c>
      <c r="D1855" t="s">
        <v>10</v>
      </c>
      <c r="E1855" s="2">
        <v>43336.230474537035</v>
      </c>
      <c r="F1855" t="s">
        <v>586</v>
      </c>
      <c r="G1855" t="s">
        <v>318</v>
      </c>
      <c r="H1855" t="s">
        <v>460</v>
      </c>
      <c r="I1855" t="s">
        <v>490</v>
      </c>
      <c r="J1855" t="s">
        <v>491</v>
      </c>
    </row>
    <row r="1856" spans="1:10" hidden="1" x14ac:dyDescent="0.25">
      <c r="A1856" t="s">
        <v>225</v>
      </c>
      <c r="B1856" t="s">
        <v>6</v>
      </c>
      <c r="C1856" t="s">
        <v>7</v>
      </c>
      <c r="D1856" t="s">
        <v>484</v>
      </c>
      <c r="E1856" s="2">
        <v>43336.230694444443</v>
      </c>
      <c r="F1856" t="s">
        <v>298</v>
      </c>
      <c r="G1856" t="s">
        <v>318</v>
      </c>
      <c r="H1856" t="s">
        <v>436</v>
      </c>
      <c r="I1856" t="s">
        <v>492</v>
      </c>
      <c r="J1856" t="s">
        <v>493</v>
      </c>
    </row>
    <row r="1857" spans="1:10" hidden="1" x14ac:dyDescent="0.25">
      <c r="A1857" t="s">
        <v>278</v>
      </c>
      <c r="B1857" t="s">
        <v>6</v>
      </c>
      <c r="C1857" t="s">
        <v>7</v>
      </c>
      <c r="D1857" t="s">
        <v>476</v>
      </c>
      <c r="E1857" s="2">
        <v>43336.230752314812</v>
      </c>
      <c r="F1857" t="s">
        <v>303</v>
      </c>
      <c r="G1857" t="s">
        <v>429</v>
      </c>
      <c r="H1857" t="s">
        <v>318</v>
      </c>
      <c r="I1857" t="s">
        <v>498</v>
      </c>
      <c r="J1857" t="s">
        <v>498</v>
      </c>
    </row>
    <row r="1858" spans="1:10" hidden="1" x14ac:dyDescent="0.25">
      <c r="A1858" t="s">
        <v>277</v>
      </c>
      <c r="B1858" t="s">
        <v>6</v>
      </c>
      <c r="C1858" t="s">
        <v>7</v>
      </c>
      <c r="D1858" t="s">
        <v>476</v>
      </c>
      <c r="E1858" s="2">
        <v>43336.230937499997</v>
      </c>
      <c r="F1858" t="s">
        <v>302</v>
      </c>
      <c r="G1858" t="s">
        <v>456</v>
      </c>
      <c r="H1858" t="s">
        <v>447</v>
      </c>
      <c r="I1858" t="s">
        <v>498</v>
      </c>
      <c r="J1858" t="s">
        <v>498</v>
      </c>
    </row>
    <row r="1859" spans="1:10" hidden="1" x14ac:dyDescent="0.25">
      <c r="A1859" t="s">
        <v>407</v>
      </c>
      <c r="B1859" t="s">
        <v>6</v>
      </c>
      <c r="C1859" t="s">
        <v>7</v>
      </c>
      <c r="D1859" t="s">
        <v>10</v>
      </c>
      <c r="E1859" s="2">
        <v>43336.231111111112</v>
      </c>
      <c r="F1859" t="s">
        <v>586</v>
      </c>
      <c r="G1859" t="s">
        <v>318</v>
      </c>
      <c r="H1859" t="s">
        <v>461</v>
      </c>
      <c r="I1859" t="s">
        <v>490</v>
      </c>
      <c r="J1859" t="s">
        <v>491</v>
      </c>
    </row>
    <row r="1860" spans="1:10" hidden="1" x14ac:dyDescent="0.25">
      <c r="A1860" t="s">
        <v>229</v>
      </c>
      <c r="B1860" t="s">
        <v>6</v>
      </c>
      <c r="C1860" t="s">
        <v>7</v>
      </c>
      <c r="D1860" t="s">
        <v>10</v>
      </c>
      <c r="E1860" s="2">
        <v>43336.231296296297</v>
      </c>
      <c r="F1860" t="s">
        <v>298</v>
      </c>
      <c r="G1860" t="s">
        <v>318</v>
      </c>
      <c r="H1860" t="s">
        <v>437</v>
      </c>
      <c r="I1860" t="s">
        <v>492</v>
      </c>
      <c r="J1860" t="s">
        <v>493</v>
      </c>
    </row>
    <row r="1861" spans="1:10" hidden="1" x14ac:dyDescent="0.25">
      <c r="A1861" t="s">
        <v>147</v>
      </c>
      <c r="B1861" t="s">
        <v>6</v>
      </c>
      <c r="C1861" t="s">
        <v>7</v>
      </c>
      <c r="D1861" t="s">
        <v>10</v>
      </c>
      <c r="E1861" s="2">
        <v>43336.231377314813</v>
      </c>
      <c r="F1861" t="s">
        <v>303</v>
      </c>
      <c r="G1861" t="s">
        <v>429</v>
      </c>
      <c r="H1861" t="s">
        <v>323</v>
      </c>
      <c r="I1861" t="s">
        <v>498</v>
      </c>
      <c r="J1861" t="s">
        <v>498</v>
      </c>
    </row>
    <row r="1862" spans="1:10" hidden="1" x14ac:dyDescent="0.25">
      <c r="A1862" t="s">
        <v>200</v>
      </c>
      <c r="B1862" t="s">
        <v>6</v>
      </c>
      <c r="C1862" t="s">
        <v>7</v>
      </c>
      <c r="D1862" t="s">
        <v>10</v>
      </c>
      <c r="E1862" s="2">
        <v>43336.231539351851</v>
      </c>
      <c r="F1862" t="s">
        <v>302</v>
      </c>
      <c r="G1862" t="s">
        <v>456</v>
      </c>
      <c r="H1862" t="s">
        <v>448</v>
      </c>
      <c r="I1862" t="s">
        <v>498</v>
      </c>
      <c r="J1862" t="s">
        <v>498</v>
      </c>
    </row>
    <row r="1863" spans="1:10" hidden="1" x14ac:dyDescent="0.25">
      <c r="A1863" t="s">
        <v>408</v>
      </c>
      <c r="B1863" t="s">
        <v>6</v>
      </c>
      <c r="C1863" t="s">
        <v>7</v>
      </c>
      <c r="D1863" t="s">
        <v>10</v>
      </c>
      <c r="E1863" s="2">
        <v>43336.231747685182</v>
      </c>
      <c r="F1863" t="s">
        <v>586</v>
      </c>
      <c r="G1863" t="s">
        <v>318</v>
      </c>
      <c r="H1863" t="s">
        <v>462</v>
      </c>
      <c r="I1863" t="s">
        <v>490</v>
      </c>
      <c r="J1863" t="s">
        <v>491</v>
      </c>
    </row>
    <row r="1864" spans="1:10" hidden="1" x14ac:dyDescent="0.25">
      <c r="A1864" t="s">
        <v>223</v>
      </c>
      <c r="B1864" t="s">
        <v>6</v>
      </c>
      <c r="C1864" t="s">
        <v>7</v>
      </c>
      <c r="D1864" t="s">
        <v>10</v>
      </c>
      <c r="E1864" s="2">
        <v>43336.231886574074</v>
      </c>
      <c r="F1864" t="s">
        <v>298</v>
      </c>
      <c r="G1864" t="s">
        <v>318</v>
      </c>
      <c r="H1864" t="s">
        <v>438</v>
      </c>
      <c r="I1864" t="s">
        <v>509</v>
      </c>
      <c r="J1864" t="s">
        <v>510</v>
      </c>
    </row>
    <row r="1865" spans="1:10" hidden="1" x14ac:dyDescent="0.25">
      <c r="A1865" t="s">
        <v>279</v>
      </c>
      <c r="B1865" t="s">
        <v>6</v>
      </c>
      <c r="C1865" t="s">
        <v>7</v>
      </c>
      <c r="D1865" t="s">
        <v>10</v>
      </c>
      <c r="E1865" s="2">
        <v>43336.232002314813</v>
      </c>
      <c r="F1865" t="s">
        <v>303</v>
      </c>
      <c r="G1865" t="s">
        <v>429</v>
      </c>
      <c r="H1865" t="s">
        <v>385</v>
      </c>
      <c r="I1865" t="s">
        <v>498</v>
      </c>
      <c r="J1865" t="s">
        <v>498</v>
      </c>
    </row>
    <row r="1866" spans="1:10" hidden="1" x14ac:dyDescent="0.25">
      <c r="A1866" t="s">
        <v>134</v>
      </c>
      <c r="B1866" t="s">
        <v>6</v>
      </c>
      <c r="C1866" t="s">
        <v>7</v>
      </c>
      <c r="D1866" t="s">
        <v>10</v>
      </c>
      <c r="E1866" s="2">
        <v>43336.232129629629</v>
      </c>
      <c r="F1866" t="s">
        <v>302</v>
      </c>
      <c r="G1866" t="s">
        <v>456</v>
      </c>
      <c r="H1866" t="s">
        <v>449</v>
      </c>
      <c r="I1866" t="s">
        <v>498</v>
      </c>
      <c r="J1866" t="s">
        <v>498</v>
      </c>
    </row>
    <row r="1867" spans="1:10" hidden="1" x14ac:dyDescent="0.25">
      <c r="A1867" t="s">
        <v>335</v>
      </c>
      <c r="B1867" t="s">
        <v>6</v>
      </c>
      <c r="C1867" t="s">
        <v>7</v>
      </c>
      <c r="D1867" t="s">
        <v>10</v>
      </c>
      <c r="E1867" s="2">
        <v>43336.232372685183</v>
      </c>
      <c r="F1867" t="s">
        <v>586</v>
      </c>
      <c r="G1867" t="s">
        <v>318</v>
      </c>
      <c r="H1867" t="s">
        <v>453</v>
      </c>
      <c r="I1867" t="s">
        <v>490</v>
      </c>
      <c r="J1867" t="s">
        <v>491</v>
      </c>
    </row>
    <row r="1868" spans="1:10" hidden="1" x14ac:dyDescent="0.25">
      <c r="A1868" t="s">
        <v>167</v>
      </c>
      <c r="B1868" t="s">
        <v>6</v>
      </c>
      <c r="C1868" t="s">
        <v>7</v>
      </c>
      <c r="D1868" t="s">
        <v>10</v>
      </c>
      <c r="E1868" s="2">
        <v>43336.232499999998</v>
      </c>
      <c r="F1868" t="s">
        <v>298</v>
      </c>
      <c r="G1868" t="s">
        <v>318</v>
      </c>
      <c r="H1868" t="s">
        <v>439</v>
      </c>
      <c r="I1868" t="s">
        <v>492</v>
      </c>
      <c r="J1868" t="s">
        <v>493</v>
      </c>
    </row>
    <row r="1869" spans="1:10" hidden="1" x14ac:dyDescent="0.25">
      <c r="A1869" t="s">
        <v>132</v>
      </c>
      <c r="B1869" t="s">
        <v>6</v>
      </c>
      <c r="C1869" t="s">
        <v>7</v>
      </c>
      <c r="D1869" t="s">
        <v>10</v>
      </c>
      <c r="E1869" s="2">
        <v>43336.232638888891</v>
      </c>
      <c r="F1869" t="s">
        <v>303</v>
      </c>
      <c r="G1869" t="s">
        <v>429</v>
      </c>
      <c r="H1869" t="s">
        <v>457</v>
      </c>
      <c r="I1869" t="s">
        <v>498</v>
      </c>
      <c r="J1869" t="s">
        <v>498</v>
      </c>
    </row>
    <row r="1870" spans="1:10" hidden="1" x14ac:dyDescent="0.25">
      <c r="A1870" t="s">
        <v>148</v>
      </c>
      <c r="B1870" t="s">
        <v>6</v>
      </c>
      <c r="C1870" t="s">
        <v>7</v>
      </c>
      <c r="D1870" t="s">
        <v>10</v>
      </c>
      <c r="E1870" s="2">
        <v>43336.232731481483</v>
      </c>
      <c r="F1870" t="s">
        <v>302</v>
      </c>
      <c r="G1870" t="s">
        <v>456</v>
      </c>
      <c r="H1870" t="s">
        <v>450</v>
      </c>
      <c r="I1870" t="s">
        <v>498</v>
      </c>
      <c r="J1870" t="s">
        <v>498</v>
      </c>
    </row>
    <row r="1871" spans="1:10" hidden="1" x14ac:dyDescent="0.25">
      <c r="A1871" t="s">
        <v>336</v>
      </c>
      <c r="B1871" t="s">
        <v>6</v>
      </c>
      <c r="C1871" t="s">
        <v>7</v>
      </c>
      <c r="D1871" t="s">
        <v>10</v>
      </c>
      <c r="E1871" s="2">
        <v>43336.232997685183</v>
      </c>
      <c r="F1871" t="s">
        <v>586</v>
      </c>
      <c r="G1871" t="s">
        <v>318</v>
      </c>
      <c r="H1871" t="s">
        <v>454</v>
      </c>
      <c r="I1871" t="s">
        <v>490</v>
      </c>
      <c r="J1871" t="s">
        <v>491</v>
      </c>
    </row>
    <row r="1872" spans="1:10" hidden="1" x14ac:dyDescent="0.25">
      <c r="A1872" t="s">
        <v>165</v>
      </c>
      <c r="B1872" t="s">
        <v>6</v>
      </c>
      <c r="C1872" t="s">
        <v>7</v>
      </c>
      <c r="D1872" t="s">
        <v>10</v>
      </c>
      <c r="E1872" s="2">
        <v>43336.233113425929</v>
      </c>
      <c r="F1872" t="s">
        <v>298</v>
      </c>
      <c r="G1872" t="s">
        <v>318</v>
      </c>
      <c r="H1872" t="s">
        <v>440</v>
      </c>
      <c r="I1872" t="s">
        <v>492</v>
      </c>
      <c r="J1872" t="s">
        <v>493</v>
      </c>
    </row>
    <row r="1873" spans="1:10" hidden="1" x14ac:dyDescent="0.25">
      <c r="A1873" t="s">
        <v>131</v>
      </c>
      <c r="B1873" t="s">
        <v>6</v>
      </c>
      <c r="C1873" t="s">
        <v>7</v>
      </c>
      <c r="D1873" t="s">
        <v>10</v>
      </c>
      <c r="E1873" s="2">
        <v>43336.233240740738</v>
      </c>
      <c r="F1873" t="s">
        <v>303</v>
      </c>
      <c r="G1873" t="s">
        <v>429</v>
      </c>
      <c r="H1873" t="s">
        <v>458</v>
      </c>
      <c r="I1873" t="s">
        <v>498</v>
      </c>
      <c r="J1873" t="s">
        <v>498</v>
      </c>
    </row>
    <row r="1874" spans="1:10" hidden="1" x14ac:dyDescent="0.25">
      <c r="A1874" t="s">
        <v>241</v>
      </c>
      <c r="B1874" t="s">
        <v>6</v>
      </c>
      <c r="C1874" t="s">
        <v>7</v>
      </c>
      <c r="D1874" t="s">
        <v>10</v>
      </c>
      <c r="E1874" s="2">
        <v>43336.23332175926</v>
      </c>
      <c r="F1874" t="s">
        <v>302</v>
      </c>
      <c r="G1874" t="s">
        <v>456</v>
      </c>
      <c r="H1874" t="s">
        <v>451</v>
      </c>
      <c r="I1874" t="s">
        <v>498</v>
      </c>
      <c r="J1874" t="s">
        <v>498</v>
      </c>
    </row>
    <row r="1875" spans="1:10" hidden="1" x14ac:dyDescent="0.25">
      <c r="A1875" t="s">
        <v>337</v>
      </c>
      <c r="B1875" t="s">
        <v>6</v>
      </c>
      <c r="C1875" t="s">
        <v>7</v>
      </c>
      <c r="D1875" t="s">
        <v>10</v>
      </c>
      <c r="E1875" s="2">
        <v>43336.233634259261</v>
      </c>
      <c r="F1875" t="s">
        <v>586</v>
      </c>
      <c r="G1875" t="s">
        <v>318</v>
      </c>
      <c r="H1875" t="s">
        <v>455</v>
      </c>
      <c r="I1875" t="s">
        <v>490</v>
      </c>
      <c r="J1875" t="s">
        <v>491</v>
      </c>
    </row>
    <row r="1876" spans="1:10" hidden="1" x14ac:dyDescent="0.25">
      <c r="A1876" t="s">
        <v>227</v>
      </c>
      <c r="B1876" t="s">
        <v>6</v>
      </c>
      <c r="C1876" t="s">
        <v>7</v>
      </c>
      <c r="D1876" t="s">
        <v>10</v>
      </c>
      <c r="E1876" s="2">
        <v>43336.233715277776</v>
      </c>
      <c r="F1876" t="s">
        <v>298</v>
      </c>
      <c r="G1876" t="s">
        <v>318</v>
      </c>
      <c r="H1876" t="s">
        <v>441</v>
      </c>
      <c r="I1876" t="s">
        <v>492</v>
      </c>
      <c r="J1876" t="s">
        <v>493</v>
      </c>
    </row>
    <row r="1877" spans="1:10" hidden="1" x14ac:dyDescent="0.25">
      <c r="A1877" t="s">
        <v>278</v>
      </c>
      <c r="B1877" t="s">
        <v>6</v>
      </c>
      <c r="C1877" t="s">
        <v>7</v>
      </c>
      <c r="D1877" t="s">
        <v>476</v>
      </c>
      <c r="E1877" s="2">
        <v>43336.233935185184</v>
      </c>
      <c r="F1877" t="s">
        <v>302</v>
      </c>
      <c r="G1877" t="s">
        <v>456</v>
      </c>
      <c r="H1877" t="s">
        <v>452</v>
      </c>
      <c r="I1877" t="s">
        <v>498</v>
      </c>
      <c r="J1877" t="s">
        <v>498</v>
      </c>
    </row>
    <row r="1878" spans="1:10" hidden="1" x14ac:dyDescent="0.25">
      <c r="A1878" t="s">
        <v>130</v>
      </c>
      <c r="B1878" t="s">
        <v>6</v>
      </c>
      <c r="C1878" t="s">
        <v>7</v>
      </c>
      <c r="D1878" t="s">
        <v>13</v>
      </c>
      <c r="E1878" s="2">
        <v>43336.233981481484</v>
      </c>
      <c r="F1878" t="s">
        <v>303</v>
      </c>
      <c r="G1878" t="s">
        <v>429</v>
      </c>
      <c r="H1878" t="s">
        <v>459</v>
      </c>
      <c r="I1878" t="s">
        <v>494</v>
      </c>
      <c r="J1878" t="s">
        <v>544</v>
      </c>
    </row>
    <row r="1879" spans="1:10" hidden="1" x14ac:dyDescent="0.25">
      <c r="A1879" t="s">
        <v>164</v>
      </c>
      <c r="B1879" t="s">
        <v>6</v>
      </c>
      <c r="C1879" t="s">
        <v>7</v>
      </c>
      <c r="D1879" t="s">
        <v>10</v>
      </c>
      <c r="E1879" s="2">
        <v>43336.234317129631</v>
      </c>
      <c r="F1879" t="s">
        <v>298</v>
      </c>
      <c r="G1879" t="s">
        <v>318</v>
      </c>
      <c r="H1879" t="s">
        <v>442</v>
      </c>
      <c r="I1879" t="s">
        <v>492</v>
      </c>
      <c r="J1879" t="s">
        <v>493</v>
      </c>
    </row>
    <row r="1880" spans="1:10" hidden="1" x14ac:dyDescent="0.25">
      <c r="A1880" t="s">
        <v>338</v>
      </c>
      <c r="B1880" t="s">
        <v>6</v>
      </c>
      <c r="C1880" t="s">
        <v>7</v>
      </c>
      <c r="D1880" t="s">
        <v>27</v>
      </c>
      <c r="E1880" s="2">
        <v>43336.234386574077</v>
      </c>
      <c r="F1880" t="s">
        <v>586</v>
      </c>
      <c r="G1880" t="s">
        <v>318</v>
      </c>
      <c r="H1880" t="s">
        <v>456</v>
      </c>
      <c r="I1880" t="s">
        <v>490</v>
      </c>
      <c r="J1880" t="s">
        <v>491</v>
      </c>
    </row>
    <row r="1881" spans="1:10" hidden="1" x14ac:dyDescent="0.25">
      <c r="A1881" t="s">
        <v>267</v>
      </c>
      <c r="B1881" t="s">
        <v>6</v>
      </c>
      <c r="C1881" t="s">
        <v>7</v>
      </c>
      <c r="D1881" t="s">
        <v>476</v>
      </c>
      <c r="E1881" s="2">
        <v>43336.234548611108</v>
      </c>
      <c r="F1881" t="s">
        <v>302</v>
      </c>
      <c r="G1881" t="s">
        <v>456</v>
      </c>
      <c r="H1881" t="s">
        <v>318</v>
      </c>
      <c r="I1881" t="s">
        <v>498</v>
      </c>
      <c r="J1881" t="s">
        <v>498</v>
      </c>
    </row>
    <row r="1882" spans="1:10" hidden="1" x14ac:dyDescent="0.25">
      <c r="A1882" t="s">
        <v>184</v>
      </c>
      <c r="B1882" t="s">
        <v>6</v>
      </c>
      <c r="C1882" t="s">
        <v>7</v>
      </c>
      <c r="D1882" t="s">
        <v>476</v>
      </c>
      <c r="E1882" s="2">
        <v>43336.234606481485</v>
      </c>
      <c r="F1882" t="s">
        <v>303</v>
      </c>
      <c r="G1882" t="s">
        <v>429</v>
      </c>
      <c r="H1882" t="s">
        <v>460</v>
      </c>
      <c r="I1882" t="s">
        <v>494</v>
      </c>
      <c r="J1882" t="s">
        <v>544</v>
      </c>
    </row>
    <row r="1883" spans="1:10" hidden="1" x14ac:dyDescent="0.25">
      <c r="A1883" t="s">
        <v>168</v>
      </c>
      <c r="B1883" t="s">
        <v>6</v>
      </c>
      <c r="C1883" t="s">
        <v>7</v>
      </c>
      <c r="D1883" t="s">
        <v>10</v>
      </c>
      <c r="E1883" s="2">
        <v>43336.234918981485</v>
      </c>
      <c r="F1883" t="s">
        <v>298</v>
      </c>
      <c r="G1883" t="s">
        <v>318</v>
      </c>
      <c r="H1883" t="s">
        <v>443</v>
      </c>
      <c r="I1883" t="s">
        <v>492</v>
      </c>
      <c r="J1883" t="s">
        <v>500</v>
      </c>
    </row>
    <row r="1884" spans="1:10" hidden="1" x14ac:dyDescent="0.25">
      <c r="A1884" t="s">
        <v>339</v>
      </c>
      <c r="B1884" t="s">
        <v>6</v>
      </c>
      <c r="C1884" t="s">
        <v>7</v>
      </c>
      <c r="D1884" t="s">
        <v>27</v>
      </c>
      <c r="E1884" s="2">
        <v>43336.235138888886</v>
      </c>
      <c r="F1884" t="s">
        <v>586</v>
      </c>
      <c r="G1884" t="s">
        <v>318</v>
      </c>
      <c r="H1884" t="s">
        <v>426</v>
      </c>
      <c r="I1884" t="s">
        <v>490</v>
      </c>
      <c r="J1884" t="s">
        <v>491</v>
      </c>
    </row>
    <row r="1885" spans="1:10" hidden="1" x14ac:dyDescent="0.25">
      <c r="A1885" t="s">
        <v>243</v>
      </c>
      <c r="B1885" t="s">
        <v>6</v>
      </c>
      <c r="C1885" t="s">
        <v>7</v>
      </c>
      <c r="D1885" t="s">
        <v>13</v>
      </c>
      <c r="E1885" s="2">
        <v>43336.235347222224</v>
      </c>
      <c r="F1885" t="s">
        <v>303</v>
      </c>
      <c r="G1885" t="s">
        <v>429</v>
      </c>
      <c r="H1885" t="s">
        <v>461</v>
      </c>
      <c r="I1885" t="s">
        <v>494</v>
      </c>
      <c r="J1885" t="s">
        <v>544</v>
      </c>
    </row>
    <row r="1886" spans="1:10" hidden="1" x14ac:dyDescent="0.25">
      <c r="A1886" t="s">
        <v>163</v>
      </c>
      <c r="B1886" t="s">
        <v>6</v>
      </c>
      <c r="C1886" t="s">
        <v>7</v>
      </c>
      <c r="D1886" t="s">
        <v>10</v>
      </c>
      <c r="E1886" s="2">
        <v>43336.235520833332</v>
      </c>
      <c r="F1886" t="s">
        <v>298</v>
      </c>
      <c r="G1886" t="s">
        <v>318</v>
      </c>
      <c r="H1886" t="s">
        <v>444</v>
      </c>
      <c r="I1886" t="s">
        <v>492</v>
      </c>
      <c r="J1886" t="s">
        <v>493</v>
      </c>
    </row>
    <row r="1887" spans="1:10" hidden="1" x14ac:dyDescent="0.25">
      <c r="A1887" t="s">
        <v>309</v>
      </c>
      <c r="B1887" t="s">
        <v>6</v>
      </c>
      <c r="C1887" t="s">
        <v>7</v>
      </c>
      <c r="D1887" t="s">
        <v>10</v>
      </c>
      <c r="E1887" s="2">
        <v>43336.235763888886</v>
      </c>
      <c r="F1887" t="s">
        <v>586</v>
      </c>
      <c r="G1887" t="s">
        <v>318</v>
      </c>
      <c r="H1887" t="s">
        <v>427</v>
      </c>
      <c r="I1887" t="s">
        <v>490</v>
      </c>
      <c r="J1887" t="s">
        <v>491</v>
      </c>
    </row>
    <row r="1888" spans="1:10" hidden="1" x14ac:dyDescent="0.25">
      <c r="A1888" t="s">
        <v>129</v>
      </c>
      <c r="B1888" t="s">
        <v>6</v>
      </c>
      <c r="C1888" t="s">
        <v>7</v>
      </c>
      <c r="D1888" t="s">
        <v>476</v>
      </c>
      <c r="E1888" s="2">
        <v>43336.235960648148</v>
      </c>
      <c r="F1888" t="s">
        <v>303</v>
      </c>
      <c r="G1888" t="s">
        <v>429</v>
      </c>
      <c r="H1888" t="s">
        <v>462</v>
      </c>
      <c r="I1888" t="s">
        <v>494</v>
      </c>
      <c r="J1888" t="s">
        <v>544</v>
      </c>
    </row>
    <row r="1889" spans="1:10" hidden="1" x14ac:dyDescent="0.25">
      <c r="A1889" t="s">
        <v>218</v>
      </c>
      <c r="B1889" t="s">
        <v>6</v>
      </c>
      <c r="C1889" t="s">
        <v>7</v>
      </c>
      <c r="D1889" t="s">
        <v>27</v>
      </c>
      <c r="E1889" s="2">
        <v>43336.236331018517</v>
      </c>
      <c r="F1889" t="s">
        <v>298</v>
      </c>
      <c r="G1889" t="s">
        <v>318</v>
      </c>
      <c r="H1889" t="s">
        <v>445</v>
      </c>
      <c r="I1889" t="s">
        <v>492</v>
      </c>
      <c r="J1889" t="s">
        <v>493</v>
      </c>
    </row>
    <row r="1890" spans="1:10" hidden="1" x14ac:dyDescent="0.25">
      <c r="A1890" t="s">
        <v>310</v>
      </c>
      <c r="B1890" t="s">
        <v>6</v>
      </c>
      <c r="C1890" t="s">
        <v>7</v>
      </c>
      <c r="D1890" t="s">
        <v>27</v>
      </c>
      <c r="E1890" s="2">
        <v>43336.236516203702</v>
      </c>
      <c r="F1890" t="s">
        <v>586</v>
      </c>
      <c r="G1890" t="s">
        <v>318</v>
      </c>
      <c r="H1890" t="s">
        <v>428</v>
      </c>
      <c r="I1890" t="s">
        <v>490</v>
      </c>
      <c r="J1890" t="s">
        <v>491</v>
      </c>
    </row>
    <row r="1891" spans="1:10" hidden="1" x14ac:dyDescent="0.25">
      <c r="A1891" t="s">
        <v>136</v>
      </c>
      <c r="B1891" t="s">
        <v>6</v>
      </c>
      <c r="C1891" t="s">
        <v>7</v>
      </c>
      <c r="D1891" t="s">
        <v>13</v>
      </c>
      <c r="E1891" s="2">
        <v>43336.236689814818</v>
      </c>
      <c r="F1891" t="s">
        <v>303</v>
      </c>
      <c r="G1891" t="s">
        <v>429</v>
      </c>
      <c r="H1891" t="s">
        <v>453</v>
      </c>
      <c r="I1891" t="s">
        <v>494</v>
      </c>
      <c r="J1891" t="s">
        <v>544</v>
      </c>
    </row>
    <row r="1892" spans="1:10" hidden="1" x14ac:dyDescent="0.25">
      <c r="A1892" t="s">
        <v>162</v>
      </c>
      <c r="B1892" t="s">
        <v>6</v>
      </c>
      <c r="C1892" t="s">
        <v>7</v>
      </c>
      <c r="D1892" t="s">
        <v>10</v>
      </c>
      <c r="E1892" s="2">
        <v>43336.236956018518</v>
      </c>
      <c r="F1892" t="s">
        <v>298</v>
      </c>
      <c r="G1892" t="s">
        <v>318</v>
      </c>
      <c r="H1892" t="s">
        <v>446</v>
      </c>
      <c r="I1892" t="s">
        <v>492</v>
      </c>
      <c r="J1892" t="s">
        <v>493</v>
      </c>
    </row>
    <row r="1893" spans="1:10" hidden="1" x14ac:dyDescent="0.25">
      <c r="A1893" t="s">
        <v>311</v>
      </c>
      <c r="B1893" t="s">
        <v>6</v>
      </c>
      <c r="C1893" t="s">
        <v>7</v>
      </c>
      <c r="D1893" t="s">
        <v>10</v>
      </c>
      <c r="E1893" s="2">
        <v>43336.237129629626</v>
      </c>
      <c r="F1893" t="s">
        <v>586</v>
      </c>
      <c r="G1893" t="s">
        <v>318</v>
      </c>
      <c r="H1893" t="s">
        <v>429</v>
      </c>
      <c r="I1893" t="s">
        <v>490</v>
      </c>
      <c r="J1893" t="s">
        <v>491</v>
      </c>
    </row>
    <row r="1894" spans="1:10" hidden="1" x14ac:dyDescent="0.25">
      <c r="A1894" t="s">
        <v>280</v>
      </c>
      <c r="B1894" t="s">
        <v>6</v>
      </c>
      <c r="C1894" t="s">
        <v>7</v>
      </c>
      <c r="D1894" t="s">
        <v>13</v>
      </c>
      <c r="E1894" s="2">
        <v>43336.237442129626</v>
      </c>
      <c r="F1894" t="s">
        <v>303</v>
      </c>
      <c r="G1894" t="s">
        <v>429</v>
      </c>
      <c r="H1894" t="s">
        <v>454</v>
      </c>
      <c r="I1894" t="s">
        <v>494</v>
      </c>
      <c r="J1894" t="s">
        <v>544</v>
      </c>
    </row>
    <row r="1895" spans="1:10" hidden="1" x14ac:dyDescent="0.25">
      <c r="A1895" t="s">
        <v>221</v>
      </c>
      <c r="B1895" t="s">
        <v>6</v>
      </c>
      <c r="C1895" t="s">
        <v>7</v>
      </c>
      <c r="D1895" t="s">
        <v>10</v>
      </c>
      <c r="E1895" s="2">
        <v>43336.237581018519</v>
      </c>
      <c r="F1895" t="s">
        <v>298</v>
      </c>
      <c r="G1895" t="s">
        <v>318</v>
      </c>
      <c r="H1895" t="s">
        <v>447</v>
      </c>
      <c r="I1895" t="s">
        <v>492</v>
      </c>
      <c r="J1895" t="s">
        <v>493</v>
      </c>
    </row>
    <row r="1896" spans="1:10" hidden="1" x14ac:dyDescent="0.25">
      <c r="A1896" t="s">
        <v>312</v>
      </c>
      <c r="B1896" t="s">
        <v>6</v>
      </c>
      <c r="C1896" t="s">
        <v>7</v>
      </c>
      <c r="D1896" t="s">
        <v>10</v>
      </c>
      <c r="E1896" s="2">
        <v>43336.23777777778</v>
      </c>
      <c r="F1896" t="s">
        <v>586</v>
      </c>
      <c r="G1896" t="s">
        <v>318</v>
      </c>
      <c r="H1896" t="s">
        <v>430</v>
      </c>
      <c r="I1896" t="s">
        <v>490</v>
      </c>
      <c r="J1896" t="s">
        <v>491</v>
      </c>
    </row>
    <row r="1897" spans="1:10" hidden="1" x14ac:dyDescent="0.25">
      <c r="A1897" t="s">
        <v>128</v>
      </c>
      <c r="B1897" t="s">
        <v>6</v>
      </c>
      <c r="C1897" t="s">
        <v>7</v>
      </c>
      <c r="D1897" t="s">
        <v>13</v>
      </c>
      <c r="E1897" s="2">
        <v>43336.238182870373</v>
      </c>
      <c r="F1897" t="s">
        <v>303</v>
      </c>
      <c r="G1897" t="s">
        <v>429</v>
      </c>
      <c r="H1897" t="s">
        <v>455</v>
      </c>
      <c r="I1897" t="s">
        <v>494</v>
      </c>
      <c r="J1897" t="s">
        <v>544</v>
      </c>
    </row>
    <row r="1898" spans="1:10" hidden="1" x14ac:dyDescent="0.25">
      <c r="A1898" t="s">
        <v>114</v>
      </c>
      <c r="B1898" t="s">
        <v>6</v>
      </c>
      <c r="C1898" t="s">
        <v>7</v>
      </c>
      <c r="D1898" t="s">
        <v>10</v>
      </c>
      <c r="E1898" s="2">
        <v>43336.238194444442</v>
      </c>
      <c r="F1898" t="s">
        <v>298</v>
      </c>
      <c r="G1898" t="s">
        <v>318</v>
      </c>
      <c r="H1898" t="s">
        <v>448</v>
      </c>
      <c r="I1898" t="s">
        <v>492</v>
      </c>
      <c r="J1898" t="s">
        <v>493</v>
      </c>
    </row>
    <row r="1899" spans="1:10" hidden="1" x14ac:dyDescent="0.25">
      <c r="A1899" t="s">
        <v>313</v>
      </c>
      <c r="B1899" t="s">
        <v>6</v>
      </c>
      <c r="C1899" t="s">
        <v>7</v>
      </c>
      <c r="D1899" t="s">
        <v>27</v>
      </c>
      <c r="E1899" s="2">
        <v>43336.238553240742</v>
      </c>
      <c r="F1899" t="s">
        <v>586</v>
      </c>
      <c r="G1899" t="s">
        <v>318</v>
      </c>
      <c r="H1899" t="s">
        <v>431</v>
      </c>
      <c r="I1899" t="s">
        <v>490</v>
      </c>
      <c r="J1899" t="s">
        <v>491</v>
      </c>
    </row>
    <row r="1900" spans="1:10" hidden="1" x14ac:dyDescent="0.25">
      <c r="A1900" t="s">
        <v>158</v>
      </c>
      <c r="B1900" t="s">
        <v>6</v>
      </c>
      <c r="C1900" t="s">
        <v>7</v>
      </c>
      <c r="D1900" t="s">
        <v>10</v>
      </c>
      <c r="E1900" s="2">
        <v>43336.238796296297</v>
      </c>
      <c r="F1900" t="s">
        <v>298</v>
      </c>
      <c r="G1900" t="s">
        <v>318</v>
      </c>
      <c r="H1900" t="s">
        <v>449</v>
      </c>
      <c r="I1900" t="s">
        <v>492</v>
      </c>
      <c r="J1900" t="s">
        <v>493</v>
      </c>
    </row>
    <row r="1901" spans="1:10" hidden="1" x14ac:dyDescent="0.25">
      <c r="A1901" t="s">
        <v>126</v>
      </c>
      <c r="B1901" t="s">
        <v>6</v>
      </c>
      <c r="C1901" t="s">
        <v>7</v>
      </c>
      <c r="D1901" t="s">
        <v>13</v>
      </c>
      <c r="E1901" s="2">
        <v>43336.238935185182</v>
      </c>
      <c r="F1901" t="s">
        <v>303</v>
      </c>
      <c r="G1901" t="s">
        <v>429</v>
      </c>
      <c r="H1901" t="s">
        <v>456</v>
      </c>
      <c r="I1901" t="s">
        <v>494</v>
      </c>
      <c r="J1901" t="s">
        <v>544</v>
      </c>
    </row>
    <row r="1902" spans="1:10" hidden="1" x14ac:dyDescent="0.25">
      <c r="A1902" t="s">
        <v>314</v>
      </c>
      <c r="B1902" t="s">
        <v>6</v>
      </c>
      <c r="C1902" t="s">
        <v>7</v>
      </c>
      <c r="D1902" t="s">
        <v>27</v>
      </c>
      <c r="E1902" s="2">
        <v>43336.239328703705</v>
      </c>
      <c r="F1902" t="s">
        <v>586</v>
      </c>
      <c r="G1902" t="s">
        <v>318</v>
      </c>
      <c r="H1902" t="s">
        <v>432</v>
      </c>
      <c r="I1902" t="s">
        <v>490</v>
      </c>
      <c r="J1902" t="s">
        <v>491</v>
      </c>
    </row>
    <row r="1903" spans="1:10" hidden="1" x14ac:dyDescent="0.25">
      <c r="A1903" t="s">
        <v>16</v>
      </c>
      <c r="B1903" t="s">
        <v>6</v>
      </c>
      <c r="C1903" t="s">
        <v>7</v>
      </c>
      <c r="D1903" t="s">
        <v>10</v>
      </c>
      <c r="E1903" s="2">
        <v>43336.23940972222</v>
      </c>
      <c r="F1903" t="s">
        <v>298</v>
      </c>
      <c r="G1903" t="s">
        <v>318</v>
      </c>
      <c r="H1903" t="s">
        <v>450</v>
      </c>
      <c r="I1903" t="s">
        <v>492</v>
      </c>
      <c r="J1903" t="s">
        <v>493</v>
      </c>
    </row>
    <row r="1904" spans="1:10" hidden="1" x14ac:dyDescent="0.25">
      <c r="A1904" t="s">
        <v>125</v>
      </c>
      <c r="B1904" t="s">
        <v>6</v>
      </c>
      <c r="C1904" t="s">
        <v>7</v>
      </c>
      <c r="D1904" t="s">
        <v>476</v>
      </c>
      <c r="E1904" s="2">
        <v>43336.239560185182</v>
      </c>
      <c r="F1904" t="s">
        <v>303</v>
      </c>
      <c r="G1904" t="s">
        <v>429</v>
      </c>
      <c r="H1904" t="s">
        <v>426</v>
      </c>
      <c r="I1904" t="s">
        <v>494</v>
      </c>
      <c r="J1904" t="s">
        <v>544</v>
      </c>
    </row>
    <row r="1905" spans="1:10" hidden="1" x14ac:dyDescent="0.25">
      <c r="A1905" t="s">
        <v>113</v>
      </c>
      <c r="B1905" t="s">
        <v>6</v>
      </c>
      <c r="C1905" t="s">
        <v>7</v>
      </c>
      <c r="D1905" t="s">
        <v>10</v>
      </c>
      <c r="E1905" s="2">
        <v>43336.240023148152</v>
      </c>
      <c r="F1905" t="s">
        <v>298</v>
      </c>
      <c r="G1905" t="s">
        <v>318</v>
      </c>
      <c r="H1905" t="s">
        <v>451</v>
      </c>
      <c r="I1905" t="s">
        <v>492</v>
      </c>
      <c r="J1905" t="s">
        <v>493</v>
      </c>
    </row>
    <row r="1906" spans="1:10" hidden="1" x14ac:dyDescent="0.25">
      <c r="A1906" t="s">
        <v>315</v>
      </c>
      <c r="B1906" t="s">
        <v>6</v>
      </c>
      <c r="C1906" t="s">
        <v>7</v>
      </c>
      <c r="D1906" t="s">
        <v>27</v>
      </c>
      <c r="E1906" s="2">
        <v>43336.24009259259</v>
      </c>
      <c r="F1906" t="s">
        <v>586</v>
      </c>
      <c r="G1906" t="s">
        <v>318</v>
      </c>
      <c r="H1906" t="s">
        <v>433</v>
      </c>
      <c r="I1906" t="s">
        <v>490</v>
      </c>
      <c r="J1906" t="s">
        <v>491</v>
      </c>
    </row>
    <row r="1907" spans="1:10" hidden="1" x14ac:dyDescent="0.25">
      <c r="A1907" t="s">
        <v>112</v>
      </c>
      <c r="B1907" t="s">
        <v>6</v>
      </c>
      <c r="C1907" t="s">
        <v>7</v>
      </c>
      <c r="D1907" t="s">
        <v>10</v>
      </c>
      <c r="E1907" s="2">
        <v>43336.240636574075</v>
      </c>
      <c r="F1907" t="s">
        <v>298</v>
      </c>
      <c r="G1907" t="s">
        <v>318</v>
      </c>
      <c r="H1907" t="s">
        <v>452</v>
      </c>
      <c r="I1907" t="s">
        <v>492</v>
      </c>
      <c r="J1907" t="s">
        <v>493</v>
      </c>
    </row>
    <row r="1908" spans="1:10" hidden="1" x14ac:dyDescent="0.25">
      <c r="A1908" t="s">
        <v>316</v>
      </c>
      <c r="B1908" t="s">
        <v>6</v>
      </c>
      <c r="C1908" t="s">
        <v>7</v>
      </c>
      <c r="D1908" t="s">
        <v>27</v>
      </c>
      <c r="E1908" s="2">
        <v>43336.240868055553</v>
      </c>
      <c r="F1908" t="s">
        <v>586</v>
      </c>
      <c r="G1908" t="s">
        <v>318</v>
      </c>
      <c r="H1908" t="s">
        <v>434</v>
      </c>
      <c r="I1908" t="s">
        <v>490</v>
      </c>
      <c r="J1908" t="s">
        <v>491</v>
      </c>
    </row>
    <row r="1909" spans="1:10" hidden="1" x14ac:dyDescent="0.25">
      <c r="A1909" t="s">
        <v>411</v>
      </c>
      <c r="B1909" t="s">
        <v>6</v>
      </c>
      <c r="C1909" t="s">
        <v>7</v>
      </c>
      <c r="D1909" t="s">
        <v>27</v>
      </c>
      <c r="E1909" s="2">
        <v>43336.241643518515</v>
      </c>
      <c r="F1909" t="s">
        <v>586</v>
      </c>
      <c r="G1909" t="s">
        <v>318</v>
      </c>
      <c r="H1909" t="s">
        <v>435</v>
      </c>
      <c r="I1909" t="s">
        <v>490</v>
      </c>
      <c r="J1909" t="s">
        <v>491</v>
      </c>
    </row>
    <row r="1910" spans="1:10" hidden="1" x14ac:dyDescent="0.25">
      <c r="A1910" t="s">
        <v>412</v>
      </c>
      <c r="B1910" t="s">
        <v>6</v>
      </c>
      <c r="C1910" t="s">
        <v>7</v>
      </c>
      <c r="D1910" t="s">
        <v>27</v>
      </c>
      <c r="E1910" s="2">
        <v>43336.242407407408</v>
      </c>
      <c r="F1910" t="s">
        <v>586</v>
      </c>
      <c r="G1910" t="s">
        <v>318</v>
      </c>
      <c r="H1910" t="s">
        <v>436</v>
      </c>
      <c r="I1910" t="s">
        <v>490</v>
      </c>
      <c r="J1910" t="s">
        <v>491</v>
      </c>
    </row>
    <row r="1911" spans="1:10" hidden="1" x14ac:dyDescent="0.25">
      <c r="A1911" t="s">
        <v>413</v>
      </c>
      <c r="B1911" t="s">
        <v>6</v>
      </c>
      <c r="C1911" t="s">
        <v>7</v>
      </c>
      <c r="D1911" t="s">
        <v>10</v>
      </c>
      <c r="E1911" s="2">
        <v>43336.243032407408</v>
      </c>
      <c r="F1911" t="s">
        <v>586</v>
      </c>
      <c r="G1911" t="s">
        <v>318</v>
      </c>
      <c r="H1911" t="s">
        <v>437</v>
      </c>
      <c r="I1911" t="s">
        <v>490</v>
      </c>
      <c r="J1911" t="s">
        <v>491</v>
      </c>
    </row>
    <row r="1912" spans="1:10" hidden="1" x14ac:dyDescent="0.25">
      <c r="A1912" t="s">
        <v>409</v>
      </c>
      <c r="B1912" t="s">
        <v>6</v>
      </c>
      <c r="C1912" t="s">
        <v>7</v>
      </c>
      <c r="D1912" t="s">
        <v>10</v>
      </c>
      <c r="E1912" s="2">
        <v>43336.243668981479</v>
      </c>
      <c r="F1912" t="s">
        <v>586</v>
      </c>
      <c r="G1912" t="s">
        <v>318</v>
      </c>
      <c r="H1912" t="s">
        <v>438</v>
      </c>
      <c r="I1912" t="s">
        <v>490</v>
      </c>
      <c r="J1912" t="s">
        <v>491</v>
      </c>
    </row>
    <row r="1913" spans="1:10" hidden="1" x14ac:dyDescent="0.25">
      <c r="A1913" t="s">
        <v>363</v>
      </c>
      <c r="B1913" t="s">
        <v>6</v>
      </c>
      <c r="C1913" t="s">
        <v>7</v>
      </c>
      <c r="D1913" t="s">
        <v>10</v>
      </c>
      <c r="E1913" s="2">
        <v>43336.244305555556</v>
      </c>
      <c r="F1913" t="s">
        <v>586</v>
      </c>
      <c r="G1913" t="s">
        <v>318</v>
      </c>
      <c r="H1913" t="s">
        <v>439</v>
      </c>
      <c r="I1913" t="s">
        <v>490</v>
      </c>
      <c r="J1913" t="s">
        <v>491</v>
      </c>
    </row>
    <row r="1914" spans="1:10" hidden="1" x14ac:dyDescent="0.25">
      <c r="A1914" t="s">
        <v>400</v>
      </c>
      <c r="B1914" t="s">
        <v>6</v>
      </c>
      <c r="C1914" t="s">
        <v>7</v>
      </c>
      <c r="D1914" t="s">
        <v>27</v>
      </c>
      <c r="E1914" s="2">
        <v>43336.245069444441</v>
      </c>
      <c r="F1914" t="s">
        <v>586</v>
      </c>
      <c r="G1914" t="s">
        <v>318</v>
      </c>
      <c r="H1914" t="s">
        <v>440</v>
      </c>
      <c r="I1914" t="s">
        <v>490</v>
      </c>
      <c r="J1914" t="s">
        <v>491</v>
      </c>
    </row>
    <row r="1915" spans="1:10" hidden="1" x14ac:dyDescent="0.25">
      <c r="A1915" t="s">
        <v>376</v>
      </c>
      <c r="B1915" t="s">
        <v>6</v>
      </c>
      <c r="C1915" t="s">
        <v>7</v>
      </c>
      <c r="D1915" t="s">
        <v>27</v>
      </c>
      <c r="E1915" s="2">
        <v>43336.245844907404</v>
      </c>
      <c r="F1915" t="s">
        <v>586</v>
      </c>
      <c r="G1915" t="s">
        <v>318</v>
      </c>
      <c r="H1915" t="s">
        <v>441</v>
      </c>
      <c r="I1915" t="s">
        <v>490</v>
      </c>
      <c r="J1915" t="s">
        <v>491</v>
      </c>
    </row>
    <row r="1916" spans="1:10" hidden="1" x14ac:dyDescent="0.25">
      <c r="A1916" t="s">
        <v>327</v>
      </c>
      <c r="B1916" t="s">
        <v>6</v>
      </c>
      <c r="C1916" t="s">
        <v>7</v>
      </c>
      <c r="D1916" t="s">
        <v>10</v>
      </c>
      <c r="E1916" s="2">
        <v>43336.246469907404</v>
      </c>
      <c r="F1916" t="s">
        <v>586</v>
      </c>
      <c r="G1916" t="s">
        <v>318</v>
      </c>
      <c r="H1916" t="s">
        <v>442</v>
      </c>
      <c r="I1916" t="s">
        <v>490</v>
      </c>
      <c r="J1916" t="s">
        <v>491</v>
      </c>
    </row>
    <row r="1917" spans="1:10" hidden="1" x14ac:dyDescent="0.25">
      <c r="A1917" t="s">
        <v>414</v>
      </c>
      <c r="B1917" t="s">
        <v>6</v>
      </c>
      <c r="C1917" t="s">
        <v>7</v>
      </c>
      <c r="D1917" t="s">
        <v>10</v>
      </c>
      <c r="E1917" s="2">
        <v>43336.247106481482</v>
      </c>
      <c r="F1917" t="s">
        <v>586</v>
      </c>
      <c r="G1917" t="s">
        <v>318</v>
      </c>
      <c r="H1917" t="s">
        <v>443</v>
      </c>
      <c r="I1917" t="s">
        <v>490</v>
      </c>
      <c r="J1917" t="s">
        <v>491</v>
      </c>
    </row>
    <row r="1918" spans="1:10" hidden="1" x14ac:dyDescent="0.25">
      <c r="A1918" t="s">
        <v>420</v>
      </c>
      <c r="B1918" t="s">
        <v>6</v>
      </c>
      <c r="C1918" t="s">
        <v>7</v>
      </c>
      <c r="D1918" t="s">
        <v>10</v>
      </c>
      <c r="E1918" s="2">
        <v>43336.247754629629</v>
      </c>
      <c r="F1918" t="s">
        <v>586</v>
      </c>
      <c r="G1918" t="s">
        <v>318</v>
      </c>
      <c r="H1918" t="s">
        <v>444</v>
      </c>
      <c r="I1918" t="s">
        <v>490</v>
      </c>
      <c r="J1918" t="s">
        <v>491</v>
      </c>
    </row>
    <row r="1919" spans="1:10" hidden="1" x14ac:dyDescent="0.25">
      <c r="A1919" t="s">
        <v>421</v>
      </c>
      <c r="B1919" t="s">
        <v>6</v>
      </c>
      <c r="C1919" t="s">
        <v>7</v>
      </c>
      <c r="D1919" t="s">
        <v>10</v>
      </c>
      <c r="E1919" s="2">
        <v>43336.248391203706</v>
      </c>
      <c r="F1919" t="s">
        <v>586</v>
      </c>
      <c r="G1919" t="s">
        <v>318</v>
      </c>
      <c r="H1919" t="s">
        <v>445</v>
      </c>
      <c r="I1919" t="s">
        <v>490</v>
      </c>
      <c r="J1919" t="s">
        <v>491</v>
      </c>
    </row>
    <row r="1920" spans="1:10" hidden="1" x14ac:dyDescent="0.25">
      <c r="A1920" t="s">
        <v>390</v>
      </c>
      <c r="B1920" t="s">
        <v>6</v>
      </c>
      <c r="C1920" t="s">
        <v>7</v>
      </c>
      <c r="D1920" t="s">
        <v>10</v>
      </c>
      <c r="E1920" s="2">
        <v>43336.249016203707</v>
      </c>
      <c r="F1920" t="s">
        <v>586</v>
      </c>
      <c r="G1920" t="s">
        <v>318</v>
      </c>
      <c r="H1920" t="s">
        <v>446</v>
      </c>
      <c r="I1920" t="s">
        <v>490</v>
      </c>
      <c r="J1920" t="s">
        <v>491</v>
      </c>
    </row>
    <row r="1921" spans="1:10" hidden="1" x14ac:dyDescent="0.25">
      <c r="A1921" t="s">
        <v>391</v>
      </c>
      <c r="B1921" t="s">
        <v>6</v>
      </c>
      <c r="C1921" t="s">
        <v>7</v>
      </c>
      <c r="D1921" t="s">
        <v>10</v>
      </c>
      <c r="E1921" s="2">
        <v>43336.249641203707</v>
      </c>
      <c r="F1921" t="s">
        <v>586</v>
      </c>
      <c r="G1921" t="s">
        <v>318</v>
      </c>
      <c r="H1921" t="s">
        <v>447</v>
      </c>
      <c r="I1921" t="s">
        <v>490</v>
      </c>
      <c r="J1921" t="s">
        <v>491</v>
      </c>
    </row>
    <row r="1922" spans="1:10" hidden="1" x14ac:dyDescent="0.25">
      <c r="A1922" t="s">
        <v>364</v>
      </c>
      <c r="B1922" t="s">
        <v>6</v>
      </c>
      <c r="C1922" t="s">
        <v>7</v>
      </c>
      <c r="D1922" t="s">
        <v>27</v>
      </c>
      <c r="E1922" s="2">
        <v>43336.250428240739</v>
      </c>
      <c r="F1922" t="s">
        <v>586</v>
      </c>
      <c r="G1922" t="s">
        <v>318</v>
      </c>
      <c r="H1922" t="s">
        <v>448</v>
      </c>
      <c r="I1922" t="s">
        <v>490</v>
      </c>
      <c r="J1922" t="s">
        <v>491</v>
      </c>
    </row>
    <row r="1923" spans="1:10" hidden="1" x14ac:dyDescent="0.25">
      <c r="A1923" t="s">
        <v>386</v>
      </c>
      <c r="B1923" t="s">
        <v>6</v>
      </c>
      <c r="C1923" t="s">
        <v>7</v>
      </c>
      <c r="D1923" t="s">
        <v>27</v>
      </c>
      <c r="E1923" s="2">
        <v>43336.251192129632</v>
      </c>
      <c r="F1923" t="s">
        <v>586</v>
      </c>
      <c r="G1923" t="s">
        <v>318</v>
      </c>
      <c r="H1923" t="s">
        <v>449</v>
      </c>
      <c r="I1923" t="s">
        <v>490</v>
      </c>
      <c r="J1923" t="s">
        <v>491</v>
      </c>
    </row>
    <row r="1924" spans="1:10" hidden="1" x14ac:dyDescent="0.25">
      <c r="A1924" t="s">
        <v>392</v>
      </c>
      <c r="B1924" t="s">
        <v>6</v>
      </c>
      <c r="C1924" t="s">
        <v>7</v>
      </c>
      <c r="D1924" t="s">
        <v>27</v>
      </c>
      <c r="E1924" s="2">
        <v>43336.251944444448</v>
      </c>
      <c r="F1924" t="s">
        <v>586</v>
      </c>
      <c r="G1924" t="s">
        <v>318</v>
      </c>
      <c r="H1924" t="s">
        <v>450</v>
      </c>
      <c r="I1924" t="s">
        <v>490</v>
      </c>
      <c r="J1924" t="s">
        <v>491</v>
      </c>
    </row>
    <row r="1925" spans="1:10" hidden="1" x14ac:dyDescent="0.25">
      <c r="A1925" t="s">
        <v>393</v>
      </c>
      <c r="B1925" t="s">
        <v>6</v>
      </c>
      <c r="C1925" t="s">
        <v>7</v>
      </c>
      <c r="D1925" t="s">
        <v>10</v>
      </c>
      <c r="E1925" s="2">
        <v>43336.252592592595</v>
      </c>
      <c r="F1925" t="s">
        <v>586</v>
      </c>
      <c r="G1925" t="s">
        <v>318</v>
      </c>
      <c r="H1925" t="s">
        <v>451</v>
      </c>
      <c r="I1925" t="s">
        <v>490</v>
      </c>
      <c r="J1925" t="s">
        <v>491</v>
      </c>
    </row>
    <row r="1926" spans="1:10" hidden="1" x14ac:dyDescent="0.25">
      <c r="A1926" t="s">
        <v>239</v>
      </c>
      <c r="B1926" t="s">
        <v>6</v>
      </c>
      <c r="C1926" t="s">
        <v>7</v>
      </c>
      <c r="D1926" t="s">
        <v>10</v>
      </c>
      <c r="E1926" s="2">
        <v>43336.252835648149</v>
      </c>
      <c r="F1926" t="s">
        <v>302</v>
      </c>
      <c r="G1926" t="s">
        <v>456</v>
      </c>
      <c r="H1926" t="s">
        <v>323</v>
      </c>
      <c r="I1926" t="s">
        <v>498</v>
      </c>
      <c r="J1926" t="s">
        <v>498</v>
      </c>
    </row>
    <row r="1927" spans="1:10" hidden="1" x14ac:dyDescent="0.25">
      <c r="A1927" t="s">
        <v>394</v>
      </c>
      <c r="B1927" t="s">
        <v>6</v>
      </c>
      <c r="C1927" t="s">
        <v>7</v>
      </c>
      <c r="D1927" t="s">
        <v>10</v>
      </c>
      <c r="E1927" s="2">
        <v>43336.253240740742</v>
      </c>
      <c r="F1927" t="s">
        <v>586</v>
      </c>
      <c r="G1927" t="s">
        <v>318</v>
      </c>
      <c r="H1927" t="s">
        <v>452</v>
      </c>
      <c r="I1927" t="s">
        <v>490</v>
      </c>
      <c r="J1927" t="s">
        <v>491</v>
      </c>
    </row>
    <row r="1928" spans="1:10" hidden="1" x14ac:dyDescent="0.25">
      <c r="A1928" t="s">
        <v>268</v>
      </c>
      <c r="B1928" t="s">
        <v>6</v>
      </c>
      <c r="C1928" t="s">
        <v>7</v>
      </c>
      <c r="D1928" t="s">
        <v>10</v>
      </c>
      <c r="E1928" s="2">
        <v>43336.253425925926</v>
      </c>
      <c r="F1928" t="s">
        <v>302</v>
      </c>
      <c r="G1928" t="s">
        <v>456</v>
      </c>
      <c r="H1928" t="s">
        <v>385</v>
      </c>
      <c r="I1928" t="s">
        <v>498</v>
      </c>
      <c r="J1928" t="s">
        <v>498</v>
      </c>
    </row>
    <row r="1929" spans="1:10" hidden="1" x14ac:dyDescent="0.25">
      <c r="A1929" t="s">
        <v>377</v>
      </c>
      <c r="B1929" t="s">
        <v>6</v>
      </c>
      <c r="C1929" t="s">
        <v>7</v>
      </c>
      <c r="D1929" t="s">
        <v>10</v>
      </c>
      <c r="E1929" s="2">
        <v>43336.253611111111</v>
      </c>
      <c r="F1929" t="s">
        <v>298</v>
      </c>
      <c r="G1929" t="s">
        <v>318</v>
      </c>
      <c r="H1929" t="s">
        <v>318</v>
      </c>
      <c r="I1929" t="s">
        <v>581</v>
      </c>
      <c r="J1929" t="s">
        <v>581</v>
      </c>
    </row>
    <row r="1930" spans="1:10" hidden="1" x14ac:dyDescent="0.25">
      <c r="A1930" t="s">
        <v>384</v>
      </c>
      <c r="B1930" t="s">
        <v>6</v>
      </c>
      <c r="C1930" t="s">
        <v>7</v>
      </c>
      <c r="D1930" t="s">
        <v>10</v>
      </c>
      <c r="E1930" s="2">
        <v>43336.254224537035</v>
      </c>
      <c r="F1930" t="s">
        <v>298</v>
      </c>
      <c r="G1930" t="s">
        <v>318</v>
      </c>
      <c r="H1930" t="s">
        <v>323</v>
      </c>
      <c r="I1930" t="s">
        <v>581</v>
      </c>
      <c r="J1930" t="s">
        <v>581</v>
      </c>
    </row>
    <row r="1931" spans="1:10" hidden="1" x14ac:dyDescent="0.25">
      <c r="A1931" t="s">
        <v>109</v>
      </c>
      <c r="B1931" t="s">
        <v>6</v>
      </c>
      <c r="C1931" t="s">
        <v>7</v>
      </c>
      <c r="D1931" t="s">
        <v>10</v>
      </c>
      <c r="E1931" s="2">
        <v>43336.254710648151</v>
      </c>
      <c r="F1931" t="s">
        <v>299</v>
      </c>
      <c r="G1931" t="s">
        <v>323</v>
      </c>
      <c r="H1931" t="s">
        <v>323</v>
      </c>
      <c r="I1931" t="s">
        <v>533</v>
      </c>
      <c r="J1931" t="s">
        <v>543</v>
      </c>
    </row>
    <row r="1932" spans="1:10" hidden="1" x14ac:dyDescent="0.25">
      <c r="A1932" t="s">
        <v>326</v>
      </c>
      <c r="B1932" t="s">
        <v>6</v>
      </c>
      <c r="C1932" t="s">
        <v>7</v>
      </c>
      <c r="D1932" t="s">
        <v>10</v>
      </c>
      <c r="E1932" s="2">
        <v>43336.254849537036</v>
      </c>
      <c r="F1932" t="s">
        <v>298</v>
      </c>
      <c r="G1932" t="s">
        <v>318</v>
      </c>
      <c r="H1932" t="s">
        <v>385</v>
      </c>
      <c r="I1932" t="s">
        <v>581</v>
      </c>
      <c r="J1932" t="s">
        <v>581</v>
      </c>
    </row>
    <row r="1933" spans="1:10" hidden="1" x14ac:dyDescent="0.25">
      <c r="A1933" t="s">
        <v>104</v>
      </c>
      <c r="B1933" t="s">
        <v>6</v>
      </c>
      <c r="C1933" t="s">
        <v>7</v>
      </c>
      <c r="D1933" t="s">
        <v>10</v>
      </c>
      <c r="E1933" s="2">
        <v>43336.255347222221</v>
      </c>
      <c r="F1933" t="s">
        <v>299</v>
      </c>
      <c r="G1933" t="s">
        <v>323</v>
      </c>
      <c r="H1933" t="s">
        <v>385</v>
      </c>
      <c r="I1933" t="s">
        <v>533</v>
      </c>
      <c r="J1933" t="s">
        <v>543</v>
      </c>
    </row>
    <row r="1934" spans="1:10" hidden="1" x14ac:dyDescent="0.25">
      <c r="A1934" t="s">
        <v>463</v>
      </c>
      <c r="B1934" t="s">
        <v>6</v>
      </c>
      <c r="C1934" t="s">
        <v>7</v>
      </c>
      <c r="D1934" t="s">
        <v>10</v>
      </c>
      <c r="E1934" s="2">
        <v>43336.255462962959</v>
      </c>
      <c r="F1934" t="s">
        <v>298</v>
      </c>
      <c r="G1934" t="s">
        <v>318</v>
      </c>
      <c r="H1934" t="s">
        <v>457</v>
      </c>
      <c r="I1934" t="s">
        <v>581</v>
      </c>
      <c r="J1934" t="s">
        <v>581</v>
      </c>
    </row>
    <row r="1935" spans="1:10" hidden="1" x14ac:dyDescent="0.25">
      <c r="A1935" t="s">
        <v>272</v>
      </c>
      <c r="B1935" t="s">
        <v>6</v>
      </c>
      <c r="C1935" t="s">
        <v>7</v>
      </c>
      <c r="D1935" t="s">
        <v>10</v>
      </c>
      <c r="E1935" s="2">
        <v>43336.255543981482</v>
      </c>
      <c r="F1935" t="s">
        <v>300</v>
      </c>
      <c r="G1935" t="s">
        <v>453</v>
      </c>
      <c r="H1935" t="s">
        <v>431</v>
      </c>
      <c r="I1935" t="s">
        <v>494</v>
      </c>
      <c r="J1935" t="s">
        <v>582</v>
      </c>
    </row>
    <row r="1936" spans="1:10" hidden="1" x14ac:dyDescent="0.25">
      <c r="A1936" t="s">
        <v>284</v>
      </c>
      <c r="B1936" t="s">
        <v>6</v>
      </c>
      <c r="C1936" t="s">
        <v>7</v>
      </c>
      <c r="D1936" t="s">
        <v>13</v>
      </c>
      <c r="E1936" s="2">
        <v>43336.255891203706</v>
      </c>
      <c r="F1936" t="s">
        <v>303</v>
      </c>
      <c r="G1936" t="s">
        <v>430</v>
      </c>
      <c r="H1936" t="s">
        <v>427</v>
      </c>
      <c r="I1936" t="s">
        <v>494</v>
      </c>
      <c r="J1936" t="s">
        <v>544</v>
      </c>
    </row>
    <row r="1937" spans="1:10" hidden="1" x14ac:dyDescent="0.25">
      <c r="A1937" t="s">
        <v>464</v>
      </c>
      <c r="B1937" t="s">
        <v>6</v>
      </c>
      <c r="C1937" t="s">
        <v>7</v>
      </c>
      <c r="D1937" t="s">
        <v>10</v>
      </c>
      <c r="E1937" s="2">
        <v>43336.256064814814</v>
      </c>
      <c r="F1937" t="s">
        <v>298</v>
      </c>
      <c r="G1937" t="s">
        <v>318</v>
      </c>
      <c r="H1937" t="s">
        <v>458</v>
      </c>
      <c r="I1937" t="s">
        <v>581</v>
      </c>
      <c r="J1937" t="s">
        <v>581</v>
      </c>
    </row>
    <row r="1938" spans="1:10" hidden="1" x14ac:dyDescent="0.25">
      <c r="A1938" t="s">
        <v>282</v>
      </c>
      <c r="B1938" t="s">
        <v>6</v>
      </c>
      <c r="C1938" t="s">
        <v>7</v>
      </c>
      <c r="D1938" t="s">
        <v>10</v>
      </c>
      <c r="E1938" s="2">
        <v>43336.256180555552</v>
      </c>
      <c r="F1938" t="s">
        <v>300</v>
      </c>
      <c r="G1938" t="s">
        <v>453</v>
      </c>
      <c r="H1938" t="s">
        <v>432</v>
      </c>
      <c r="I1938" t="s">
        <v>494</v>
      </c>
      <c r="J1938" t="s">
        <v>582</v>
      </c>
    </row>
    <row r="1939" spans="1:10" hidden="1" x14ac:dyDescent="0.25">
      <c r="A1939" t="s">
        <v>98</v>
      </c>
      <c r="B1939" t="s">
        <v>6</v>
      </c>
      <c r="C1939" t="s">
        <v>7</v>
      </c>
      <c r="D1939" t="s">
        <v>27</v>
      </c>
      <c r="E1939" s="2">
        <v>43336.256215277775</v>
      </c>
      <c r="F1939" t="s">
        <v>299</v>
      </c>
      <c r="G1939" t="s">
        <v>323</v>
      </c>
      <c r="H1939" t="s">
        <v>457</v>
      </c>
      <c r="I1939" t="s">
        <v>545</v>
      </c>
      <c r="J1939" t="s">
        <v>497</v>
      </c>
    </row>
    <row r="1940" spans="1:10" hidden="1" x14ac:dyDescent="0.25">
      <c r="A1940" t="s">
        <v>215</v>
      </c>
      <c r="B1940" t="s">
        <v>6</v>
      </c>
      <c r="C1940" t="s">
        <v>7</v>
      </c>
      <c r="D1940" t="s">
        <v>10</v>
      </c>
      <c r="E1940" s="2">
        <v>43336.256516203706</v>
      </c>
      <c r="F1940" t="s">
        <v>303</v>
      </c>
      <c r="G1940" t="s">
        <v>430</v>
      </c>
      <c r="H1940" t="s">
        <v>428</v>
      </c>
      <c r="I1940" t="s">
        <v>494</v>
      </c>
      <c r="J1940" t="s">
        <v>501</v>
      </c>
    </row>
    <row r="1941" spans="1:10" hidden="1" x14ac:dyDescent="0.25">
      <c r="A1941" t="s">
        <v>482</v>
      </c>
      <c r="B1941" t="s">
        <v>6</v>
      </c>
      <c r="C1941" t="s">
        <v>7</v>
      </c>
      <c r="D1941" t="s">
        <v>10</v>
      </c>
      <c r="E1941" s="2">
        <v>43336.256678240738</v>
      </c>
      <c r="F1941" t="s">
        <v>298</v>
      </c>
      <c r="G1941" t="s">
        <v>318</v>
      </c>
      <c r="H1941" t="s">
        <v>459</v>
      </c>
      <c r="I1941" t="s">
        <v>581</v>
      </c>
      <c r="J1941" t="s">
        <v>581</v>
      </c>
    </row>
    <row r="1942" spans="1:10" hidden="1" x14ac:dyDescent="0.25">
      <c r="A1942" t="s">
        <v>172</v>
      </c>
      <c r="B1942" t="s">
        <v>6</v>
      </c>
      <c r="C1942" t="s">
        <v>7</v>
      </c>
      <c r="D1942" t="s">
        <v>10</v>
      </c>
      <c r="E1942" s="2">
        <v>43336.256782407407</v>
      </c>
      <c r="F1942" t="s">
        <v>585</v>
      </c>
      <c r="G1942" t="s">
        <v>318</v>
      </c>
      <c r="H1942" t="s">
        <v>318</v>
      </c>
      <c r="I1942" t="s">
        <v>494</v>
      </c>
      <c r="J1942" t="s">
        <v>501</v>
      </c>
    </row>
    <row r="1943" spans="1:10" hidden="1" x14ac:dyDescent="0.25">
      <c r="A1943" t="s">
        <v>150</v>
      </c>
      <c r="B1943" t="s">
        <v>6</v>
      </c>
      <c r="C1943" t="s">
        <v>7</v>
      </c>
      <c r="D1943" t="s">
        <v>27</v>
      </c>
      <c r="E1943" s="2">
        <v>43336.256979166668</v>
      </c>
      <c r="F1943" t="s">
        <v>299</v>
      </c>
      <c r="G1943" t="s">
        <v>323</v>
      </c>
      <c r="H1943" t="s">
        <v>458</v>
      </c>
      <c r="I1943" t="s">
        <v>545</v>
      </c>
      <c r="J1943" t="s">
        <v>497</v>
      </c>
    </row>
    <row r="1944" spans="1:10" hidden="1" x14ac:dyDescent="0.25">
      <c r="A1944" t="s">
        <v>245</v>
      </c>
      <c r="B1944" t="s">
        <v>6</v>
      </c>
      <c r="C1944" t="s">
        <v>7</v>
      </c>
      <c r="D1944" t="s">
        <v>27</v>
      </c>
      <c r="E1944" s="2">
        <v>43336.256990740738</v>
      </c>
      <c r="F1944" t="s">
        <v>300</v>
      </c>
      <c r="G1944" t="s">
        <v>453</v>
      </c>
      <c r="H1944" t="s">
        <v>433</v>
      </c>
      <c r="I1944" t="s">
        <v>494</v>
      </c>
      <c r="J1944" t="s">
        <v>582</v>
      </c>
    </row>
    <row r="1945" spans="1:10" hidden="1" x14ac:dyDescent="0.25">
      <c r="A1945" t="s">
        <v>285</v>
      </c>
      <c r="B1945" t="s">
        <v>6</v>
      </c>
      <c r="C1945" t="s">
        <v>7</v>
      </c>
      <c r="D1945" t="s">
        <v>10</v>
      </c>
      <c r="E1945" s="2">
        <v>43336.257118055553</v>
      </c>
      <c r="F1945" t="s">
        <v>303</v>
      </c>
      <c r="G1945" t="s">
        <v>430</v>
      </c>
      <c r="H1945" t="s">
        <v>429</v>
      </c>
      <c r="I1945" t="s">
        <v>494</v>
      </c>
      <c r="J1945" t="s">
        <v>501</v>
      </c>
    </row>
    <row r="1946" spans="1:10" hidden="1" x14ac:dyDescent="0.25">
      <c r="A1946" t="s">
        <v>479</v>
      </c>
      <c r="B1946" t="s">
        <v>6</v>
      </c>
      <c r="C1946" t="s">
        <v>7</v>
      </c>
      <c r="D1946" t="s">
        <v>10</v>
      </c>
      <c r="E1946" s="2">
        <v>43336.257303240738</v>
      </c>
      <c r="F1946" t="s">
        <v>298</v>
      </c>
      <c r="G1946" t="s">
        <v>318</v>
      </c>
      <c r="H1946" t="s">
        <v>460</v>
      </c>
      <c r="I1946" t="s">
        <v>581</v>
      </c>
      <c r="J1946" t="s">
        <v>581</v>
      </c>
    </row>
    <row r="1947" spans="1:10" hidden="1" x14ac:dyDescent="0.25">
      <c r="A1947" t="s">
        <v>171</v>
      </c>
      <c r="B1947" t="s">
        <v>6</v>
      </c>
      <c r="C1947" t="s">
        <v>7</v>
      </c>
      <c r="D1947" t="s">
        <v>10</v>
      </c>
      <c r="E1947" s="2">
        <v>43336.257430555554</v>
      </c>
      <c r="F1947" t="s">
        <v>585</v>
      </c>
      <c r="G1947" t="s">
        <v>318</v>
      </c>
      <c r="H1947" t="s">
        <v>323</v>
      </c>
      <c r="I1947" t="s">
        <v>494</v>
      </c>
      <c r="J1947" t="s">
        <v>501</v>
      </c>
    </row>
    <row r="1948" spans="1:10" hidden="1" x14ac:dyDescent="0.25">
      <c r="A1948" t="s">
        <v>123</v>
      </c>
      <c r="B1948" t="s">
        <v>6</v>
      </c>
      <c r="C1948" t="s">
        <v>7</v>
      </c>
      <c r="D1948" t="s">
        <v>476</v>
      </c>
      <c r="E1948" s="2">
        <v>43336.257430555554</v>
      </c>
      <c r="F1948" t="s">
        <v>590</v>
      </c>
      <c r="G1948" t="s">
        <v>430</v>
      </c>
      <c r="H1948" t="s">
        <v>439</v>
      </c>
      <c r="I1948" t="s">
        <v>513</v>
      </c>
      <c r="J1948" t="s">
        <v>513</v>
      </c>
    </row>
    <row r="1949" spans="1:10" hidden="1" x14ac:dyDescent="0.25">
      <c r="A1949" t="s">
        <v>119</v>
      </c>
      <c r="B1949" t="s">
        <v>6</v>
      </c>
      <c r="C1949" t="s">
        <v>7</v>
      </c>
      <c r="D1949" t="s">
        <v>10</v>
      </c>
      <c r="E1949" s="2">
        <v>43336.257615740738</v>
      </c>
      <c r="F1949" t="s">
        <v>299</v>
      </c>
      <c r="G1949" t="s">
        <v>323</v>
      </c>
      <c r="H1949" t="s">
        <v>459</v>
      </c>
      <c r="I1949" t="s">
        <v>545</v>
      </c>
      <c r="J1949" t="s">
        <v>497</v>
      </c>
    </row>
    <row r="1950" spans="1:10" hidden="1" x14ac:dyDescent="0.25">
      <c r="A1950" t="s">
        <v>246</v>
      </c>
      <c r="B1950" t="s">
        <v>6</v>
      </c>
      <c r="C1950" t="s">
        <v>7</v>
      </c>
      <c r="D1950" t="s">
        <v>10</v>
      </c>
      <c r="E1950" s="2">
        <v>43336.257638888892</v>
      </c>
      <c r="F1950" t="s">
        <v>300</v>
      </c>
      <c r="G1950" t="s">
        <v>453</v>
      </c>
      <c r="H1950" t="s">
        <v>434</v>
      </c>
      <c r="I1950" t="s">
        <v>494</v>
      </c>
      <c r="J1950" t="s">
        <v>582</v>
      </c>
    </row>
    <row r="1951" spans="1:10" hidden="1" x14ac:dyDescent="0.25">
      <c r="A1951" t="s">
        <v>214</v>
      </c>
      <c r="B1951" t="s">
        <v>6</v>
      </c>
      <c r="C1951" t="s">
        <v>7</v>
      </c>
      <c r="D1951" t="s">
        <v>10</v>
      </c>
      <c r="E1951" s="2">
        <v>43336.257743055554</v>
      </c>
      <c r="F1951" t="s">
        <v>303</v>
      </c>
      <c r="G1951" t="s">
        <v>430</v>
      </c>
      <c r="H1951" t="s">
        <v>430</v>
      </c>
      <c r="I1951" t="s">
        <v>494</v>
      </c>
      <c r="J1951" t="s">
        <v>501</v>
      </c>
    </row>
    <row r="1952" spans="1:10" hidden="1" x14ac:dyDescent="0.25">
      <c r="A1952" t="s">
        <v>381</v>
      </c>
      <c r="B1952" t="s">
        <v>6</v>
      </c>
      <c r="C1952" t="s">
        <v>7</v>
      </c>
      <c r="D1952" t="s">
        <v>10</v>
      </c>
      <c r="E1952" s="2">
        <v>43336.257905092592</v>
      </c>
      <c r="F1952" t="s">
        <v>298</v>
      </c>
      <c r="G1952" t="s">
        <v>318</v>
      </c>
      <c r="H1952" t="s">
        <v>461</v>
      </c>
      <c r="I1952" t="s">
        <v>581</v>
      </c>
      <c r="J1952" t="s">
        <v>581</v>
      </c>
    </row>
    <row r="1953" spans="1:10" hidden="1" x14ac:dyDescent="0.25">
      <c r="A1953" t="s">
        <v>207</v>
      </c>
      <c r="B1953" t="s">
        <v>6</v>
      </c>
      <c r="C1953" t="s">
        <v>7</v>
      </c>
      <c r="D1953" t="s">
        <v>10</v>
      </c>
      <c r="E1953" s="2">
        <v>43336.258067129631</v>
      </c>
      <c r="F1953" t="s">
        <v>585</v>
      </c>
      <c r="G1953" t="s">
        <v>318</v>
      </c>
      <c r="H1953" t="s">
        <v>385</v>
      </c>
      <c r="I1953" t="s">
        <v>494</v>
      </c>
      <c r="J1953" t="s">
        <v>501</v>
      </c>
    </row>
    <row r="1954" spans="1:10" hidden="1" x14ac:dyDescent="0.25">
      <c r="A1954" t="s">
        <v>41</v>
      </c>
      <c r="B1954" t="s">
        <v>6</v>
      </c>
      <c r="C1954" t="s">
        <v>7</v>
      </c>
      <c r="D1954" t="s">
        <v>10</v>
      </c>
      <c r="E1954" s="2">
        <v>43336.2580787037</v>
      </c>
      <c r="F1954" t="s">
        <v>590</v>
      </c>
      <c r="G1954" t="s">
        <v>430</v>
      </c>
      <c r="H1954" t="s">
        <v>440</v>
      </c>
      <c r="I1954" t="s">
        <v>513</v>
      </c>
      <c r="J1954" t="s">
        <v>513</v>
      </c>
    </row>
    <row r="1955" spans="1:10" hidden="1" x14ac:dyDescent="0.25">
      <c r="A1955" t="s">
        <v>247</v>
      </c>
      <c r="B1955" t="s">
        <v>6</v>
      </c>
      <c r="C1955" t="s">
        <v>7</v>
      </c>
      <c r="D1955" t="s">
        <v>10</v>
      </c>
      <c r="E1955" s="2">
        <v>43336.258263888885</v>
      </c>
      <c r="F1955" t="s">
        <v>300</v>
      </c>
      <c r="G1955" t="s">
        <v>453</v>
      </c>
      <c r="H1955" t="s">
        <v>435</v>
      </c>
      <c r="I1955" t="s">
        <v>494</v>
      </c>
      <c r="J1955" t="s">
        <v>582</v>
      </c>
    </row>
    <row r="1956" spans="1:10" hidden="1" x14ac:dyDescent="0.25">
      <c r="A1956" t="s">
        <v>208</v>
      </c>
      <c r="B1956" t="s">
        <v>6</v>
      </c>
      <c r="C1956" t="s">
        <v>7</v>
      </c>
      <c r="D1956" t="s">
        <v>27</v>
      </c>
      <c r="E1956" s="2">
        <v>43336.258310185185</v>
      </c>
      <c r="F1956" t="s">
        <v>591</v>
      </c>
      <c r="G1956" t="s">
        <v>318</v>
      </c>
      <c r="H1956" t="s">
        <v>318</v>
      </c>
      <c r="I1956" t="s">
        <v>497</v>
      </c>
      <c r="J1956" t="s">
        <v>497</v>
      </c>
    </row>
    <row r="1957" spans="1:10" hidden="1" x14ac:dyDescent="0.25">
      <c r="A1957" t="s">
        <v>213</v>
      </c>
      <c r="B1957" t="s">
        <v>6</v>
      </c>
      <c r="C1957" t="s">
        <v>7</v>
      </c>
      <c r="D1957" t="s">
        <v>476</v>
      </c>
      <c r="E1957" s="2">
        <v>43336.258356481485</v>
      </c>
      <c r="F1957" t="s">
        <v>303</v>
      </c>
      <c r="G1957" t="s">
        <v>430</v>
      </c>
      <c r="H1957" t="s">
        <v>431</v>
      </c>
      <c r="I1957" t="s">
        <v>494</v>
      </c>
      <c r="J1957" t="s">
        <v>501</v>
      </c>
    </row>
    <row r="1958" spans="1:10" hidden="1" x14ac:dyDescent="0.25">
      <c r="A1958" t="s">
        <v>105</v>
      </c>
      <c r="B1958" t="s">
        <v>6</v>
      </c>
      <c r="C1958" t="s">
        <v>7</v>
      </c>
      <c r="D1958" t="s">
        <v>27</v>
      </c>
      <c r="E1958" s="2">
        <v>43336.258391203701</v>
      </c>
      <c r="F1958" t="s">
        <v>299</v>
      </c>
      <c r="G1958" t="s">
        <v>323</v>
      </c>
      <c r="H1958" t="s">
        <v>460</v>
      </c>
      <c r="I1958" t="s">
        <v>545</v>
      </c>
      <c r="J1958" t="s">
        <v>497</v>
      </c>
    </row>
    <row r="1959" spans="1:10" hidden="1" x14ac:dyDescent="0.25">
      <c r="A1959" t="s">
        <v>415</v>
      </c>
      <c r="B1959" t="s">
        <v>6</v>
      </c>
      <c r="C1959" t="s">
        <v>7</v>
      </c>
      <c r="D1959" t="s">
        <v>10</v>
      </c>
      <c r="E1959" s="2">
        <v>43336.258506944447</v>
      </c>
      <c r="F1959" t="s">
        <v>298</v>
      </c>
      <c r="G1959" t="s">
        <v>318</v>
      </c>
      <c r="H1959" t="s">
        <v>462</v>
      </c>
      <c r="I1959" t="s">
        <v>581</v>
      </c>
      <c r="J1959" t="s">
        <v>581</v>
      </c>
    </row>
    <row r="1960" spans="1:10" hidden="1" x14ac:dyDescent="0.25">
      <c r="A1960" t="s">
        <v>389</v>
      </c>
      <c r="B1960" t="s">
        <v>6</v>
      </c>
      <c r="C1960" t="s">
        <v>7</v>
      </c>
      <c r="D1960" t="s">
        <v>10</v>
      </c>
      <c r="E1960" s="2">
        <v>43336.258611111109</v>
      </c>
      <c r="F1960" t="s">
        <v>586</v>
      </c>
      <c r="G1960" t="s">
        <v>318</v>
      </c>
      <c r="H1960" t="s">
        <v>318</v>
      </c>
      <c r="I1960" t="s">
        <v>490</v>
      </c>
      <c r="J1960" t="s">
        <v>497</v>
      </c>
    </row>
    <row r="1961" spans="1:10" hidden="1" x14ac:dyDescent="0.25">
      <c r="A1961" t="s">
        <v>76</v>
      </c>
      <c r="B1961" t="s">
        <v>6</v>
      </c>
      <c r="C1961" t="s">
        <v>7</v>
      </c>
      <c r="D1961" t="s">
        <v>476</v>
      </c>
      <c r="E1961" s="2">
        <v>43336.258668981478</v>
      </c>
      <c r="F1961" t="s">
        <v>590</v>
      </c>
      <c r="G1961" t="s">
        <v>430</v>
      </c>
      <c r="H1961" t="s">
        <v>441</v>
      </c>
      <c r="I1961" t="s">
        <v>507</v>
      </c>
      <c r="J1961" t="s">
        <v>507</v>
      </c>
    </row>
    <row r="1962" spans="1:10" hidden="1" x14ac:dyDescent="0.25">
      <c r="A1962" t="s">
        <v>137</v>
      </c>
      <c r="B1962" t="s">
        <v>6</v>
      </c>
      <c r="C1962" t="s">
        <v>7</v>
      </c>
      <c r="D1962" t="s">
        <v>10</v>
      </c>
      <c r="E1962" s="2">
        <v>43336.258692129632</v>
      </c>
      <c r="F1962" t="s">
        <v>585</v>
      </c>
      <c r="G1962" t="s">
        <v>318</v>
      </c>
      <c r="H1962" t="s">
        <v>457</v>
      </c>
      <c r="I1962" t="s">
        <v>494</v>
      </c>
      <c r="J1962" t="s">
        <v>501</v>
      </c>
    </row>
    <row r="1963" spans="1:10" hidden="1" x14ac:dyDescent="0.25">
      <c r="A1963" t="s">
        <v>248</v>
      </c>
      <c r="B1963" t="s">
        <v>6</v>
      </c>
      <c r="C1963" t="s">
        <v>7</v>
      </c>
      <c r="D1963" t="s">
        <v>10</v>
      </c>
      <c r="E1963" s="2">
        <v>43336.258900462963</v>
      </c>
      <c r="F1963" t="s">
        <v>300</v>
      </c>
      <c r="G1963" t="s">
        <v>453</v>
      </c>
      <c r="H1963" t="s">
        <v>436</v>
      </c>
      <c r="I1963" t="s">
        <v>494</v>
      </c>
      <c r="J1963" t="s">
        <v>582</v>
      </c>
    </row>
    <row r="1964" spans="1:10" hidden="1" x14ac:dyDescent="0.25">
      <c r="A1964" t="s">
        <v>97</v>
      </c>
      <c r="B1964" t="s">
        <v>6</v>
      </c>
      <c r="C1964" t="s">
        <v>7</v>
      </c>
      <c r="D1964" t="s">
        <v>476</v>
      </c>
      <c r="E1964" s="2">
        <v>43336.258935185186</v>
      </c>
      <c r="F1964" t="s">
        <v>591</v>
      </c>
      <c r="G1964" t="s">
        <v>318</v>
      </c>
      <c r="H1964" t="s">
        <v>323</v>
      </c>
      <c r="I1964" t="s">
        <v>497</v>
      </c>
      <c r="J1964" t="s">
        <v>497</v>
      </c>
    </row>
    <row r="1965" spans="1:10" hidden="1" x14ac:dyDescent="0.25">
      <c r="A1965" t="s">
        <v>212</v>
      </c>
      <c r="B1965" t="s">
        <v>6</v>
      </c>
      <c r="C1965" t="s">
        <v>7</v>
      </c>
      <c r="D1965" t="s">
        <v>10</v>
      </c>
      <c r="E1965" s="2">
        <v>43336.258981481478</v>
      </c>
      <c r="F1965" t="s">
        <v>303</v>
      </c>
      <c r="G1965" t="s">
        <v>430</v>
      </c>
      <c r="H1965" t="s">
        <v>432</v>
      </c>
      <c r="I1965" t="s">
        <v>494</v>
      </c>
      <c r="J1965" t="s">
        <v>501</v>
      </c>
    </row>
    <row r="1966" spans="1:10" hidden="1" x14ac:dyDescent="0.25">
      <c r="A1966" t="s">
        <v>117</v>
      </c>
      <c r="B1966" t="s">
        <v>6</v>
      </c>
      <c r="C1966" t="s">
        <v>7</v>
      </c>
      <c r="D1966" t="s">
        <v>10</v>
      </c>
      <c r="E1966" s="2">
        <v>43336.259050925924</v>
      </c>
      <c r="F1966" t="s">
        <v>299</v>
      </c>
      <c r="G1966" t="s">
        <v>323</v>
      </c>
      <c r="H1966" t="s">
        <v>461</v>
      </c>
      <c r="I1966" t="s">
        <v>492</v>
      </c>
      <c r="J1966" t="s">
        <v>547</v>
      </c>
    </row>
    <row r="1967" spans="1:10" hidden="1" x14ac:dyDescent="0.25">
      <c r="A1967" t="s">
        <v>397</v>
      </c>
      <c r="B1967" t="s">
        <v>6</v>
      </c>
      <c r="C1967" t="s">
        <v>7</v>
      </c>
      <c r="D1967" t="s">
        <v>10</v>
      </c>
      <c r="E1967" s="2">
        <v>43336.259236111109</v>
      </c>
      <c r="F1967" t="s">
        <v>586</v>
      </c>
      <c r="G1967" t="s">
        <v>318</v>
      </c>
      <c r="H1967" t="s">
        <v>323</v>
      </c>
      <c r="I1967" t="s">
        <v>490</v>
      </c>
      <c r="J1967" t="s">
        <v>491</v>
      </c>
    </row>
    <row r="1968" spans="1:10" hidden="1" x14ac:dyDescent="0.25">
      <c r="A1968" t="s">
        <v>75</v>
      </c>
      <c r="B1968" t="s">
        <v>6</v>
      </c>
      <c r="C1968" t="s">
        <v>7</v>
      </c>
      <c r="D1968" t="s">
        <v>10</v>
      </c>
      <c r="E1968" s="2">
        <v>43336.259282407409</v>
      </c>
      <c r="F1968" t="s">
        <v>590</v>
      </c>
      <c r="G1968" t="s">
        <v>430</v>
      </c>
      <c r="H1968" t="s">
        <v>442</v>
      </c>
      <c r="I1968" t="s">
        <v>504</v>
      </c>
      <c r="J1968" t="s">
        <v>504</v>
      </c>
    </row>
    <row r="1969" spans="1:10" hidden="1" x14ac:dyDescent="0.25">
      <c r="A1969" t="s">
        <v>143</v>
      </c>
      <c r="B1969" t="s">
        <v>6</v>
      </c>
      <c r="C1969" t="s">
        <v>7</v>
      </c>
      <c r="D1969" t="s">
        <v>10</v>
      </c>
      <c r="E1969" s="2">
        <v>43336.259351851855</v>
      </c>
      <c r="F1969" t="s">
        <v>585</v>
      </c>
      <c r="G1969" t="s">
        <v>318</v>
      </c>
      <c r="H1969" t="s">
        <v>458</v>
      </c>
      <c r="I1969" t="s">
        <v>494</v>
      </c>
      <c r="J1969" t="s">
        <v>501</v>
      </c>
    </row>
    <row r="1970" spans="1:10" hidden="1" x14ac:dyDescent="0.25">
      <c r="A1970" t="s">
        <v>348</v>
      </c>
      <c r="B1970" t="s">
        <v>6</v>
      </c>
      <c r="C1970" t="s">
        <v>7</v>
      </c>
      <c r="D1970" t="s">
        <v>10</v>
      </c>
      <c r="E1970" s="2">
        <v>43336.25949074074</v>
      </c>
      <c r="F1970" t="s">
        <v>587</v>
      </c>
      <c r="G1970" t="s">
        <v>459</v>
      </c>
      <c r="H1970" t="s">
        <v>436</v>
      </c>
      <c r="I1970" t="s">
        <v>573</v>
      </c>
      <c r="J1970" t="s">
        <v>491</v>
      </c>
    </row>
    <row r="1971" spans="1:10" hidden="1" x14ac:dyDescent="0.25">
      <c r="A1971" t="s">
        <v>286</v>
      </c>
      <c r="B1971" t="s">
        <v>6</v>
      </c>
      <c r="C1971" t="s">
        <v>7</v>
      </c>
      <c r="D1971" t="s">
        <v>476</v>
      </c>
      <c r="E1971" s="2">
        <v>43336.259594907409</v>
      </c>
      <c r="F1971" t="s">
        <v>303</v>
      </c>
      <c r="G1971" t="s">
        <v>430</v>
      </c>
      <c r="H1971" t="s">
        <v>433</v>
      </c>
      <c r="I1971" t="s">
        <v>494</v>
      </c>
      <c r="J1971" t="s">
        <v>501</v>
      </c>
    </row>
    <row r="1972" spans="1:10" hidden="1" x14ac:dyDescent="0.25">
      <c r="A1972" t="s">
        <v>249</v>
      </c>
      <c r="B1972" t="s">
        <v>6</v>
      </c>
      <c r="C1972" t="s">
        <v>7</v>
      </c>
      <c r="D1972" t="s">
        <v>27</v>
      </c>
      <c r="E1972" s="2">
        <v>43336.259687500002</v>
      </c>
      <c r="F1972" t="s">
        <v>300</v>
      </c>
      <c r="G1972" t="s">
        <v>453</v>
      </c>
      <c r="H1972" t="s">
        <v>437</v>
      </c>
      <c r="I1972" t="s">
        <v>494</v>
      </c>
      <c r="J1972" t="s">
        <v>583</v>
      </c>
    </row>
    <row r="1973" spans="1:10" hidden="1" x14ac:dyDescent="0.25">
      <c r="A1973" t="s">
        <v>205</v>
      </c>
      <c r="B1973" t="s">
        <v>6</v>
      </c>
      <c r="C1973" t="s">
        <v>7</v>
      </c>
      <c r="D1973" t="s">
        <v>13</v>
      </c>
      <c r="E1973" s="2">
        <v>43336.259699074071</v>
      </c>
      <c r="F1973" t="s">
        <v>591</v>
      </c>
      <c r="G1973" t="s">
        <v>318</v>
      </c>
      <c r="H1973" t="s">
        <v>385</v>
      </c>
      <c r="I1973" t="s">
        <v>497</v>
      </c>
      <c r="J1973" t="s">
        <v>497</v>
      </c>
    </row>
    <row r="1974" spans="1:10" hidden="1" x14ac:dyDescent="0.25">
      <c r="A1974" t="s">
        <v>151</v>
      </c>
      <c r="B1974" t="s">
        <v>6</v>
      </c>
      <c r="C1974" t="s">
        <v>7</v>
      </c>
      <c r="D1974" t="s">
        <v>27</v>
      </c>
      <c r="E1974" s="2">
        <v>43336.259826388887</v>
      </c>
      <c r="F1974" t="s">
        <v>299</v>
      </c>
      <c r="G1974" t="s">
        <v>323</v>
      </c>
      <c r="H1974" t="s">
        <v>462</v>
      </c>
      <c r="I1974" t="s">
        <v>492</v>
      </c>
      <c r="J1974" t="s">
        <v>546</v>
      </c>
    </row>
    <row r="1975" spans="1:10" hidden="1" x14ac:dyDescent="0.25">
      <c r="A1975" t="s">
        <v>15</v>
      </c>
      <c r="B1975" t="s">
        <v>6</v>
      </c>
      <c r="C1975" t="s">
        <v>7</v>
      </c>
      <c r="D1975" t="s">
        <v>484</v>
      </c>
      <c r="E1975" s="2">
        <v>43336.259895833333</v>
      </c>
      <c r="F1975" t="s">
        <v>298</v>
      </c>
      <c r="G1975" t="s">
        <v>318</v>
      </c>
      <c r="H1975" t="s">
        <v>453</v>
      </c>
      <c r="I1975" t="s">
        <v>541</v>
      </c>
      <c r="J1975" t="s">
        <v>542</v>
      </c>
    </row>
    <row r="1976" spans="1:10" hidden="1" x14ac:dyDescent="0.25">
      <c r="A1976" t="s">
        <v>169</v>
      </c>
      <c r="B1976" t="s">
        <v>6</v>
      </c>
      <c r="C1976" t="s">
        <v>7</v>
      </c>
      <c r="D1976" t="s">
        <v>10</v>
      </c>
      <c r="E1976" s="2">
        <v>43336.25990740741</v>
      </c>
      <c r="F1976" t="s">
        <v>590</v>
      </c>
      <c r="G1976" t="s">
        <v>430</v>
      </c>
      <c r="H1976" t="s">
        <v>443</v>
      </c>
      <c r="I1976" t="s">
        <v>498</v>
      </c>
      <c r="J1976" t="s">
        <v>498</v>
      </c>
    </row>
    <row r="1977" spans="1:10" hidden="1" x14ac:dyDescent="0.25">
      <c r="A1977" t="s">
        <v>206</v>
      </c>
      <c r="B1977" t="s">
        <v>6</v>
      </c>
      <c r="C1977" t="s">
        <v>7</v>
      </c>
      <c r="D1977" t="s">
        <v>10</v>
      </c>
      <c r="E1977" s="2">
        <v>43336.259988425925</v>
      </c>
      <c r="F1977" t="s">
        <v>585</v>
      </c>
      <c r="G1977" t="s">
        <v>318</v>
      </c>
      <c r="H1977" t="s">
        <v>459</v>
      </c>
      <c r="I1977" t="s">
        <v>494</v>
      </c>
      <c r="J1977" t="s">
        <v>501</v>
      </c>
    </row>
    <row r="1978" spans="1:10" hidden="1" x14ac:dyDescent="0.25">
      <c r="A1978" t="s">
        <v>398</v>
      </c>
      <c r="B1978" t="s">
        <v>6</v>
      </c>
      <c r="C1978" t="s">
        <v>7</v>
      </c>
      <c r="D1978" t="s">
        <v>27</v>
      </c>
      <c r="E1978" s="2">
        <v>43336.260011574072</v>
      </c>
      <c r="F1978" t="s">
        <v>586</v>
      </c>
      <c r="G1978" t="s">
        <v>318</v>
      </c>
      <c r="H1978" t="s">
        <v>385</v>
      </c>
      <c r="I1978" t="s">
        <v>490</v>
      </c>
      <c r="J1978" t="s">
        <v>491</v>
      </c>
    </row>
    <row r="1979" spans="1:10" hidden="1" x14ac:dyDescent="0.25">
      <c r="A1979" t="s">
        <v>331</v>
      </c>
      <c r="B1979" t="s">
        <v>6</v>
      </c>
      <c r="C1979" t="s">
        <v>7</v>
      </c>
      <c r="D1979" t="s">
        <v>10</v>
      </c>
      <c r="E1979" s="2">
        <v>43336.260104166664</v>
      </c>
      <c r="F1979" t="s">
        <v>587</v>
      </c>
      <c r="G1979" t="s">
        <v>459</v>
      </c>
      <c r="H1979" t="s">
        <v>437</v>
      </c>
      <c r="I1979" t="s">
        <v>574</v>
      </c>
      <c r="J1979" t="s">
        <v>491</v>
      </c>
    </row>
    <row r="1980" spans="1:10" hidden="1" x14ac:dyDescent="0.25">
      <c r="A1980" t="s">
        <v>189</v>
      </c>
      <c r="B1980" t="s">
        <v>6</v>
      </c>
      <c r="C1980" t="s">
        <v>7</v>
      </c>
      <c r="D1980" t="s">
        <v>10</v>
      </c>
      <c r="E1980" s="2">
        <v>43336.260231481479</v>
      </c>
      <c r="F1980" t="s">
        <v>303</v>
      </c>
      <c r="G1980" t="s">
        <v>430</v>
      </c>
      <c r="H1980" t="s">
        <v>434</v>
      </c>
      <c r="I1980" t="s">
        <v>494</v>
      </c>
      <c r="J1980" t="s">
        <v>501</v>
      </c>
    </row>
    <row r="1981" spans="1:10" hidden="1" x14ac:dyDescent="0.25">
      <c r="A1981" t="s">
        <v>88</v>
      </c>
      <c r="B1981" t="s">
        <v>6</v>
      </c>
      <c r="C1981" t="s">
        <v>7</v>
      </c>
      <c r="D1981" t="s">
        <v>476</v>
      </c>
      <c r="E1981" s="2">
        <v>43336.260300925926</v>
      </c>
      <c r="F1981" t="s">
        <v>591</v>
      </c>
      <c r="G1981" t="s">
        <v>318</v>
      </c>
      <c r="H1981" t="s">
        <v>457</v>
      </c>
      <c r="I1981" t="s">
        <v>497</v>
      </c>
      <c r="J1981" t="s">
        <v>497</v>
      </c>
    </row>
    <row r="1982" spans="1:10" hidden="1" x14ac:dyDescent="0.25">
      <c r="A1982" t="s">
        <v>250</v>
      </c>
      <c r="B1982" t="s">
        <v>6</v>
      </c>
      <c r="C1982" t="s">
        <v>7</v>
      </c>
      <c r="D1982" t="s">
        <v>10</v>
      </c>
      <c r="E1982" s="2">
        <v>43336.260324074072</v>
      </c>
      <c r="F1982" t="s">
        <v>300</v>
      </c>
      <c r="G1982" t="s">
        <v>453</v>
      </c>
      <c r="H1982" t="s">
        <v>438</v>
      </c>
      <c r="I1982" t="s">
        <v>494</v>
      </c>
      <c r="J1982" t="s">
        <v>583</v>
      </c>
    </row>
    <row r="1983" spans="1:10" hidden="1" x14ac:dyDescent="0.25">
      <c r="A1983" t="s">
        <v>199</v>
      </c>
      <c r="B1983" t="s">
        <v>6</v>
      </c>
      <c r="C1983" t="s">
        <v>7</v>
      </c>
      <c r="D1983" t="s">
        <v>10</v>
      </c>
      <c r="E1983" s="2">
        <v>43336.26053240741</v>
      </c>
      <c r="F1983" t="s">
        <v>590</v>
      </c>
      <c r="G1983" t="s">
        <v>430</v>
      </c>
      <c r="H1983" t="s">
        <v>444</v>
      </c>
      <c r="I1983" t="s">
        <v>498</v>
      </c>
      <c r="J1983" t="s">
        <v>498</v>
      </c>
    </row>
    <row r="1984" spans="1:10" hidden="1" x14ac:dyDescent="0.25">
      <c r="A1984" t="s">
        <v>108</v>
      </c>
      <c r="B1984" t="s">
        <v>6</v>
      </c>
      <c r="C1984" t="s">
        <v>7</v>
      </c>
      <c r="D1984" t="s">
        <v>27</v>
      </c>
      <c r="E1984" s="2">
        <v>43336.260578703703</v>
      </c>
      <c r="F1984" t="s">
        <v>299</v>
      </c>
      <c r="G1984" t="s">
        <v>323</v>
      </c>
      <c r="H1984" t="s">
        <v>453</v>
      </c>
      <c r="I1984" t="s">
        <v>492</v>
      </c>
      <c r="J1984" t="s">
        <v>546</v>
      </c>
    </row>
    <row r="1985" spans="1:10" hidden="1" x14ac:dyDescent="0.25">
      <c r="A1985" t="s">
        <v>399</v>
      </c>
      <c r="B1985" t="s">
        <v>6</v>
      </c>
      <c r="C1985" t="s">
        <v>7</v>
      </c>
      <c r="D1985" t="s">
        <v>10</v>
      </c>
      <c r="E1985" s="2">
        <v>43336.260625000003</v>
      </c>
      <c r="F1985" t="s">
        <v>586</v>
      </c>
      <c r="G1985" t="s">
        <v>318</v>
      </c>
      <c r="H1985" t="s">
        <v>457</v>
      </c>
      <c r="I1985" t="s">
        <v>490</v>
      </c>
      <c r="J1985" t="s">
        <v>491</v>
      </c>
    </row>
    <row r="1986" spans="1:10" hidden="1" x14ac:dyDescent="0.25">
      <c r="A1986" t="s">
        <v>48</v>
      </c>
      <c r="B1986" t="s">
        <v>6</v>
      </c>
      <c r="C1986" t="s">
        <v>7</v>
      </c>
      <c r="D1986" t="s">
        <v>10</v>
      </c>
      <c r="E1986" s="2">
        <v>43336.260636574072</v>
      </c>
      <c r="F1986" t="s">
        <v>585</v>
      </c>
      <c r="G1986" t="s">
        <v>318</v>
      </c>
      <c r="H1986" t="s">
        <v>460</v>
      </c>
      <c r="I1986" t="s">
        <v>494</v>
      </c>
      <c r="J1986" t="s">
        <v>501</v>
      </c>
    </row>
    <row r="1987" spans="1:10" hidden="1" x14ac:dyDescent="0.25">
      <c r="A1987" t="s">
        <v>349</v>
      </c>
      <c r="B1987" t="s">
        <v>6</v>
      </c>
      <c r="C1987" t="s">
        <v>7</v>
      </c>
      <c r="D1987" t="s">
        <v>10</v>
      </c>
      <c r="E1987" s="2">
        <v>43336.260706018518</v>
      </c>
      <c r="F1987" t="s">
        <v>587</v>
      </c>
      <c r="G1987" t="s">
        <v>459</v>
      </c>
      <c r="H1987" t="s">
        <v>438</v>
      </c>
      <c r="I1987" t="s">
        <v>575</v>
      </c>
      <c r="J1987" t="s">
        <v>491</v>
      </c>
    </row>
    <row r="1988" spans="1:10" hidden="1" x14ac:dyDescent="0.25">
      <c r="A1988" t="s">
        <v>159</v>
      </c>
      <c r="B1988" t="s">
        <v>6</v>
      </c>
      <c r="C1988" t="s">
        <v>7</v>
      </c>
      <c r="D1988" t="s">
        <v>27</v>
      </c>
      <c r="E1988" s="2">
        <v>43336.260717592595</v>
      </c>
      <c r="F1988" t="s">
        <v>298</v>
      </c>
      <c r="G1988" t="s">
        <v>318</v>
      </c>
      <c r="H1988" t="s">
        <v>454</v>
      </c>
      <c r="I1988" t="s">
        <v>492</v>
      </c>
      <c r="J1988" t="s">
        <v>493</v>
      </c>
    </row>
    <row r="1989" spans="1:10" hidden="1" x14ac:dyDescent="0.25">
      <c r="A1989" t="s">
        <v>211</v>
      </c>
      <c r="B1989" t="s">
        <v>6</v>
      </c>
      <c r="C1989" t="s">
        <v>7</v>
      </c>
      <c r="D1989" t="s">
        <v>476</v>
      </c>
      <c r="E1989" s="2">
        <v>43336.26085648148</v>
      </c>
      <c r="F1989" t="s">
        <v>303</v>
      </c>
      <c r="G1989" t="s">
        <v>430</v>
      </c>
      <c r="H1989" t="s">
        <v>435</v>
      </c>
      <c r="I1989" t="s">
        <v>494</v>
      </c>
      <c r="J1989" t="s">
        <v>501</v>
      </c>
    </row>
    <row r="1990" spans="1:10" hidden="1" x14ac:dyDescent="0.25">
      <c r="A1990" t="s">
        <v>96</v>
      </c>
      <c r="B1990" t="s">
        <v>6</v>
      </c>
      <c r="C1990" t="s">
        <v>7</v>
      </c>
      <c r="D1990" t="s">
        <v>13</v>
      </c>
      <c r="E1990" s="2">
        <v>43336.261053240742</v>
      </c>
      <c r="F1990" t="s">
        <v>591</v>
      </c>
      <c r="G1990" t="s">
        <v>318</v>
      </c>
      <c r="H1990" t="s">
        <v>458</v>
      </c>
      <c r="I1990" t="s">
        <v>497</v>
      </c>
      <c r="J1990" t="s">
        <v>497</v>
      </c>
    </row>
    <row r="1991" spans="1:10" hidden="1" x14ac:dyDescent="0.25">
      <c r="A1991" t="s">
        <v>251</v>
      </c>
      <c r="B1991" t="s">
        <v>6</v>
      </c>
      <c r="C1991" t="s">
        <v>7</v>
      </c>
      <c r="D1991" t="s">
        <v>27</v>
      </c>
      <c r="E1991" s="2">
        <v>43336.261111111111</v>
      </c>
      <c r="F1991" t="s">
        <v>300</v>
      </c>
      <c r="G1991" t="s">
        <v>453</v>
      </c>
      <c r="H1991" t="s">
        <v>439</v>
      </c>
      <c r="I1991" t="s">
        <v>494</v>
      </c>
      <c r="J1991" t="s">
        <v>583</v>
      </c>
    </row>
    <row r="1992" spans="1:10" hidden="1" x14ac:dyDescent="0.25">
      <c r="A1992" t="s">
        <v>101</v>
      </c>
      <c r="B1992" t="s">
        <v>6</v>
      </c>
      <c r="C1992" t="s">
        <v>7</v>
      </c>
      <c r="D1992" t="s">
        <v>10</v>
      </c>
      <c r="E1992" s="2">
        <v>43336.26122685185</v>
      </c>
      <c r="F1992" t="s">
        <v>299</v>
      </c>
      <c r="G1992" t="s">
        <v>323</v>
      </c>
      <c r="H1992" t="s">
        <v>454</v>
      </c>
      <c r="I1992" t="s">
        <v>492</v>
      </c>
      <c r="J1992" t="s">
        <v>546</v>
      </c>
    </row>
    <row r="1993" spans="1:10" hidden="1" x14ac:dyDescent="0.25">
      <c r="A1993" t="s">
        <v>404</v>
      </c>
      <c r="B1993" t="s">
        <v>6</v>
      </c>
      <c r="C1993" t="s">
        <v>7</v>
      </c>
      <c r="D1993" t="s">
        <v>10</v>
      </c>
      <c r="E1993" s="2">
        <v>43336.261250000003</v>
      </c>
      <c r="F1993" t="s">
        <v>586</v>
      </c>
      <c r="G1993" t="s">
        <v>318</v>
      </c>
      <c r="H1993" t="s">
        <v>458</v>
      </c>
      <c r="I1993" t="s">
        <v>490</v>
      </c>
      <c r="J1993" t="s">
        <v>491</v>
      </c>
    </row>
    <row r="1994" spans="1:10" hidden="1" x14ac:dyDescent="0.25">
      <c r="A1994" t="s">
        <v>74</v>
      </c>
      <c r="B1994" t="s">
        <v>6</v>
      </c>
      <c r="C1994" t="s">
        <v>7</v>
      </c>
      <c r="D1994" t="s">
        <v>13</v>
      </c>
      <c r="E1994" s="2">
        <v>43336.261261574073</v>
      </c>
      <c r="F1994" t="s">
        <v>590</v>
      </c>
      <c r="G1994" t="s">
        <v>430</v>
      </c>
      <c r="H1994" t="s">
        <v>445</v>
      </c>
      <c r="I1994" t="s">
        <v>498</v>
      </c>
      <c r="J1994" t="s">
        <v>498</v>
      </c>
    </row>
    <row r="1995" spans="1:10" hidden="1" x14ac:dyDescent="0.25">
      <c r="A1995" t="s">
        <v>191</v>
      </c>
      <c r="B1995" t="s">
        <v>6</v>
      </c>
      <c r="C1995" t="s">
        <v>7</v>
      </c>
      <c r="D1995" t="s">
        <v>10</v>
      </c>
      <c r="E1995" s="2">
        <v>43336.261284722219</v>
      </c>
      <c r="F1995" t="s">
        <v>585</v>
      </c>
      <c r="G1995" t="s">
        <v>318</v>
      </c>
      <c r="H1995" t="s">
        <v>461</v>
      </c>
      <c r="I1995" t="s">
        <v>494</v>
      </c>
      <c r="J1995" t="s">
        <v>501</v>
      </c>
    </row>
    <row r="1996" spans="1:10" hidden="1" x14ac:dyDescent="0.25">
      <c r="A1996" t="s">
        <v>332</v>
      </c>
      <c r="B1996" t="s">
        <v>6</v>
      </c>
      <c r="C1996" t="s">
        <v>7</v>
      </c>
      <c r="D1996" t="s">
        <v>10</v>
      </c>
      <c r="E1996" s="2">
        <v>43336.261319444442</v>
      </c>
      <c r="F1996" t="s">
        <v>587</v>
      </c>
      <c r="G1996" t="s">
        <v>459</v>
      </c>
      <c r="H1996" t="s">
        <v>439</v>
      </c>
      <c r="I1996" t="s">
        <v>577</v>
      </c>
      <c r="J1996" t="s">
        <v>491</v>
      </c>
    </row>
    <row r="1997" spans="1:10" hidden="1" x14ac:dyDescent="0.25">
      <c r="A1997" t="s">
        <v>141</v>
      </c>
      <c r="B1997" t="s">
        <v>6</v>
      </c>
      <c r="C1997" t="s">
        <v>7</v>
      </c>
      <c r="D1997" t="s">
        <v>10</v>
      </c>
      <c r="E1997" s="2">
        <v>43336.261504629627</v>
      </c>
      <c r="F1997" t="s">
        <v>303</v>
      </c>
      <c r="G1997" t="s">
        <v>430</v>
      </c>
      <c r="H1997" t="s">
        <v>436</v>
      </c>
      <c r="I1997" t="s">
        <v>494</v>
      </c>
      <c r="J1997" t="s">
        <v>501</v>
      </c>
    </row>
    <row r="1998" spans="1:10" hidden="1" x14ac:dyDescent="0.25">
      <c r="A1998" t="s">
        <v>72</v>
      </c>
      <c r="B1998" t="s">
        <v>6</v>
      </c>
      <c r="C1998" t="s">
        <v>7</v>
      </c>
      <c r="D1998" t="s">
        <v>476</v>
      </c>
      <c r="E1998" s="2">
        <v>43336.261666666665</v>
      </c>
      <c r="F1998" t="s">
        <v>591</v>
      </c>
      <c r="G1998" t="s">
        <v>318</v>
      </c>
      <c r="H1998" t="s">
        <v>459</v>
      </c>
      <c r="I1998" t="s">
        <v>497</v>
      </c>
      <c r="J1998" t="s">
        <v>497</v>
      </c>
    </row>
    <row r="1999" spans="1:10" hidden="1" x14ac:dyDescent="0.25">
      <c r="A1999" t="s">
        <v>405</v>
      </c>
      <c r="B1999" t="s">
        <v>6</v>
      </c>
      <c r="C1999" t="s">
        <v>7</v>
      </c>
      <c r="D1999" t="s">
        <v>10</v>
      </c>
      <c r="E1999" s="2">
        <v>43336.261874999997</v>
      </c>
      <c r="F1999" t="s">
        <v>586</v>
      </c>
      <c r="G1999" t="s">
        <v>318</v>
      </c>
      <c r="H1999" t="s">
        <v>459</v>
      </c>
      <c r="I1999" t="s">
        <v>490</v>
      </c>
      <c r="J1999" t="s">
        <v>491</v>
      </c>
    </row>
    <row r="2000" spans="1:10" hidden="1" x14ac:dyDescent="0.25">
      <c r="A2000" t="s">
        <v>252</v>
      </c>
      <c r="B2000" t="s">
        <v>6</v>
      </c>
      <c r="C2000" t="s">
        <v>7</v>
      </c>
      <c r="D2000" t="s">
        <v>27</v>
      </c>
      <c r="E2000" s="2">
        <v>43336.261886574073</v>
      </c>
      <c r="F2000" t="s">
        <v>300</v>
      </c>
      <c r="G2000" t="s">
        <v>453</v>
      </c>
      <c r="H2000" t="s">
        <v>440</v>
      </c>
      <c r="I2000" t="s">
        <v>494</v>
      </c>
      <c r="J2000" t="s">
        <v>583</v>
      </c>
    </row>
    <row r="2001" spans="1:10" hidden="1" x14ac:dyDescent="0.25">
      <c r="A2001" t="s">
        <v>204</v>
      </c>
      <c r="B2001" t="s">
        <v>6</v>
      </c>
      <c r="C2001" t="s">
        <v>7</v>
      </c>
      <c r="D2001" t="s">
        <v>10</v>
      </c>
      <c r="E2001" s="2">
        <v>43336.26189814815</v>
      </c>
      <c r="F2001" t="s">
        <v>299</v>
      </c>
      <c r="G2001" t="s">
        <v>323</v>
      </c>
      <c r="H2001" t="s">
        <v>455</v>
      </c>
      <c r="I2001" t="s">
        <v>492</v>
      </c>
      <c r="J2001" t="s">
        <v>546</v>
      </c>
    </row>
    <row r="2002" spans="1:10" hidden="1" x14ac:dyDescent="0.25">
      <c r="A2002" t="s">
        <v>350</v>
      </c>
      <c r="B2002" t="s">
        <v>6</v>
      </c>
      <c r="C2002" t="s">
        <v>7</v>
      </c>
      <c r="D2002" t="s">
        <v>10</v>
      </c>
      <c r="E2002" s="2">
        <v>43336.261944444443</v>
      </c>
      <c r="F2002" t="s">
        <v>587</v>
      </c>
      <c r="G2002" t="s">
        <v>459</v>
      </c>
      <c r="H2002" t="s">
        <v>440</v>
      </c>
      <c r="I2002" t="s">
        <v>576</v>
      </c>
      <c r="J2002" t="s">
        <v>491</v>
      </c>
    </row>
    <row r="2003" spans="1:10" hidden="1" x14ac:dyDescent="0.25">
      <c r="A2003" t="s">
        <v>47</v>
      </c>
      <c r="B2003" t="s">
        <v>6</v>
      </c>
      <c r="C2003" t="s">
        <v>7</v>
      </c>
      <c r="D2003" t="s">
        <v>10</v>
      </c>
      <c r="E2003" s="2">
        <v>43336.261944444443</v>
      </c>
      <c r="F2003" t="s">
        <v>585</v>
      </c>
      <c r="G2003" t="s">
        <v>318</v>
      </c>
      <c r="H2003" t="s">
        <v>462</v>
      </c>
      <c r="I2003" t="s">
        <v>494</v>
      </c>
      <c r="J2003" t="s">
        <v>501</v>
      </c>
    </row>
    <row r="2004" spans="1:10" hidden="1" x14ac:dyDescent="0.25">
      <c r="A2004" t="s">
        <v>77</v>
      </c>
      <c r="B2004" t="s">
        <v>6</v>
      </c>
      <c r="C2004" t="s">
        <v>7</v>
      </c>
      <c r="D2004" t="s">
        <v>27</v>
      </c>
      <c r="E2004" s="2">
        <v>43336.262048611112</v>
      </c>
      <c r="F2004" t="s">
        <v>590</v>
      </c>
      <c r="G2004" t="s">
        <v>430</v>
      </c>
      <c r="H2004" t="s">
        <v>446</v>
      </c>
      <c r="I2004" t="s">
        <v>498</v>
      </c>
      <c r="J2004" t="s">
        <v>498</v>
      </c>
    </row>
    <row r="2005" spans="1:10" hidden="1" x14ac:dyDescent="0.25">
      <c r="A2005" t="s">
        <v>166</v>
      </c>
      <c r="B2005" t="s">
        <v>6</v>
      </c>
      <c r="C2005" t="s">
        <v>7</v>
      </c>
      <c r="D2005" t="s">
        <v>8</v>
      </c>
      <c r="E2005" s="2">
        <v>43336.262094907404</v>
      </c>
      <c r="F2005" t="s">
        <v>298</v>
      </c>
      <c r="G2005" t="s">
        <v>318</v>
      </c>
      <c r="H2005" t="s">
        <v>455</v>
      </c>
      <c r="I2005" t="s">
        <v>492</v>
      </c>
      <c r="J2005" t="s">
        <v>493</v>
      </c>
    </row>
    <row r="2006" spans="1:10" hidden="1" x14ac:dyDescent="0.25">
      <c r="A2006" t="s">
        <v>127</v>
      </c>
      <c r="B2006" t="s">
        <v>6</v>
      </c>
      <c r="C2006" t="s">
        <v>7</v>
      </c>
      <c r="D2006" t="s">
        <v>10</v>
      </c>
      <c r="E2006" s="2">
        <v>43336.262118055558</v>
      </c>
      <c r="F2006" t="s">
        <v>303</v>
      </c>
      <c r="G2006" t="s">
        <v>430</v>
      </c>
      <c r="H2006" t="s">
        <v>437</v>
      </c>
      <c r="I2006" t="s">
        <v>494</v>
      </c>
      <c r="J2006" t="s">
        <v>501</v>
      </c>
    </row>
    <row r="2007" spans="1:10" hidden="1" x14ac:dyDescent="0.25">
      <c r="A2007" t="s">
        <v>122</v>
      </c>
      <c r="B2007" t="s">
        <v>6</v>
      </c>
      <c r="C2007" t="s">
        <v>7</v>
      </c>
      <c r="D2007" t="s">
        <v>13</v>
      </c>
      <c r="E2007" s="2">
        <v>43336.262407407405</v>
      </c>
      <c r="F2007" t="s">
        <v>591</v>
      </c>
      <c r="G2007" t="s">
        <v>318</v>
      </c>
      <c r="H2007" t="s">
        <v>460</v>
      </c>
      <c r="I2007" t="s">
        <v>497</v>
      </c>
      <c r="J2007" t="s">
        <v>497</v>
      </c>
    </row>
    <row r="2008" spans="1:10" hidden="1" x14ac:dyDescent="0.25">
      <c r="A2008" t="s">
        <v>406</v>
      </c>
      <c r="B2008" t="s">
        <v>6</v>
      </c>
      <c r="C2008" t="s">
        <v>7</v>
      </c>
      <c r="D2008" t="s">
        <v>10</v>
      </c>
      <c r="E2008" s="2">
        <v>43336.262488425928</v>
      </c>
      <c r="F2008" t="s">
        <v>586</v>
      </c>
      <c r="G2008" t="s">
        <v>318</v>
      </c>
      <c r="H2008" t="s">
        <v>460</v>
      </c>
      <c r="I2008" t="s">
        <v>490</v>
      </c>
      <c r="J2008" t="s">
        <v>491</v>
      </c>
    </row>
    <row r="2009" spans="1:10" hidden="1" x14ac:dyDescent="0.25">
      <c r="A2009" t="s">
        <v>118</v>
      </c>
      <c r="B2009" t="s">
        <v>6</v>
      </c>
      <c r="C2009" t="s">
        <v>7</v>
      </c>
      <c r="D2009" t="s">
        <v>10</v>
      </c>
      <c r="E2009" s="2">
        <v>43336.262546296297</v>
      </c>
      <c r="F2009" t="s">
        <v>299</v>
      </c>
      <c r="G2009" t="s">
        <v>323</v>
      </c>
      <c r="H2009" t="s">
        <v>456</v>
      </c>
      <c r="I2009" t="s">
        <v>492</v>
      </c>
      <c r="J2009" t="s">
        <v>546</v>
      </c>
    </row>
    <row r="2010" spans="1:10" hidden="1" x14ac:dyDescent="0.25">
      <c r="A2010" t="s">
        <v>45</v>
      </c>
      <c r="B2010" t="s">
        <v>6</v>
      </c>
      <c r="C2010" t="s">
        <v>7</v>
      </c>
      <c r="D2010" t="s">
        <v>10</v>
      </c>
      <c r="E2010" s="2">
        <v>43336.26258101852</v>
      </c>
      <c r="F2010" t="s">
        <v>585</v>
      </c>
      <c r="G2010" t="s">
        <v>318</v>
      </c>
      <c r="H2010" t="s">
        <v>453</v>
      </c>
      <c r="I2010" t="s">
        <v>494</v>
      </c>
      <c r="J2010" t="s">
        <v>501</v>
      </c>
    </row>
    <row r="2011" spans="1:10" hidden="1" x14ac:dyDescent="0.25">
      <c r="A2011" t="s">
        <v>253</v>
      </c>
      <c r="B2011" t="s">
        <v>6</v>
      </c>
      <c r="C2011" t="s">
        <v>7</v>
      </c>
      <c r="D2011" t="s">
        <v>27</v>
      </c>
      <c r="E2011" s="2">
        <v>43336.262662037036</v>
      </c>
      <c r="F2011" t="s">
        <v>300</v>
      </c>
      <c r="G2011" t="s">
        <v>453</v>
      </c>
      <c r="H2011" t="s">
        <v>441</v>
      </c>
      <c r="I2011" t="s">
        <v>494</v>
      </c>
      <c r="J2011" t="s">
        <v>583</v>
      </c>
    </row>
    <row r="2012" spans="1:10" hidden="1" x14ac:dyDescent="0.25">
      <c r="A2012" t="s">
        <v>180</v>
      </c>
      <c r="B2012" t="s">
        <v>6</v>
      </c>
      <c r="C2012" t="s">
        <v>7</v>
      </c>
      <c r="D2012" t="s">
        <v>10</v>
      </c>
      <c r="E2012" s="2">
        <v>43336.262708333335</v>
      </c>
      <c r="F2012" t="s">
        <v>298</v>
      </c>
      <c r="G2012" t="s">
        <v>318</v>
      </c>
      <c r="H2012" t="s">
        <v>456</v>
      </c>
      <c r="I2012" t="s">
        <v>492</v>
      </c>
      <c r="J2012" t="s">
        <v>493</v>
      </c>
    </row>
    <row r="2013" spans="1:10" hidden="1" x14ac:dyDescent="0.25">
      <c r="A2013" t="s">
        <v>334</v>
      </c>
      <c r="B2013" t="s">
        <v>6</v>
      </c>
      <c r="C2013" t="s">
        <v>7</v>
      </c>
      <c r="D2013" t="s">
        <v>27</v>
      </c>
      <c r="E2013" s="2">
        <v>43336.262708333335</v>
      </c>
      <c r="F2013" t="s">
        <v>587</v>
      </c>
      <c r="G2013" t="s">
        <v>459</v>
      </c>
      <c r="H2013" t="s">
        <v>441</v>
      </c>
      <c r="I2013" t="s">
        <v>578</v>
      </c>
      <c r="J2013" t="s">
        <v>491</v>
      </c>
    </row>
    <row r="2014" spans="1:10" hidden="1" x14ac:dyDescent="0.25">
      <c r="A2014" t="s">
        <v>210</v>
      </c>
      <c r="B2014" t="s">
        <v>6</v>
      </c>
      <c r="C2014" t="s">
        <v>7</v>
      </c>
      <c r="D2014" t="s">
        <v>10</v>
      </c>
      <c r="E2014" s="2">
        <v>43336.262754629628</v>
      </c>
      <c r="F2014" t="s">
        <v>303</v>
      </c>
      <c r="G2014" t="s">
        <v>430</v>
      </c>
      <c r="H2014" t="s">
        <v>438</v>
      </c>
      <c r="I2014" t="s">
        <v>494</v>
      </c>
      <c r="J2014" t="s">
        <v>501</v>
      </c>
    </row>
    <row r="2015" spans="1:10" hidden="1" x14ac:dyDescent="0.25">
      <c r="A2015" t="s">
        <v>26</v>
      </c>
      <c r="B2015" t="s">
        <v>6</v>
      </c>
      <c r="C2015" t="s">
        <v>7</v>
      </c>
      <c r="D2015" t="s">
        <v>13</v>
      </c>
      <c r="E2015" s="2">
        <v>43336.262789351851</v>
      </c>
      <c r="F2015" t="s">
        <v>590</v>
      </c>
      <c r="G2015" t="s">
        <v>430</v>
      </c>
      <c r="H2015" t="s">
        <v>447</v>
      </c>
      <c r="I2015" t="s">
        <v>498</v>
      </c>
      <c r="J2015" t="s">
        <v>498</v>
      </c>
    </row>
    <row r="2016" spans="1:10" hidden="1" x14ac:dyDescent="0.25">
      <c r="A2016" t="s">
        <v>407</v>
      </c>
      <c r="B2016" t="s">
        <v>6</v>
      </c>
      <c r="C2016" t="s">
        <v>7</v>
      </c>
      <c r="D2016" t="s">
        <v>10</v>
      </c>
      <c r="E2016" s="2">
        <v>43336.263113425928</v>
      </c>
      <c r="F2016" t="s">
        <v>586</v>
      </c>
      <c r="G2016" t="s">
        <v>318</v>
      </c>
      <c r="H2016" t="s">
        <v>461</v>
      </c>
      <c r="I2016" t="s">
        <v>490</v>
      </c>
      <c r="J2016" t="s">
        <v>491</v>
      </c>
    </row>
    <row r="2017" spans="1:10" hidden="1" x14ac:dyDescent="0.25">
      <c r="A2017" t="s">
        <v>181</v>
      </c>
      <c r="B2017" t="s">
        <v>6</v>
      </c>
      <c r="C2017" t="s">
        <v>7</v>
      </c>
      <c r="D2017" t="s">
        <v>13</v>
      </c>
      <c r="E2017" s="2">
        <v>43336.263136574074</v>
      </c>
      <c r="F2017" t="s">
        <v>591</v>
      </c>
      <c r="G2017" t="s">
        <v>318</v>
      </c>
      <c r="H2017" t="s">
        <v>461</v>
      </c>
      <c r="I2017" t="s">
        <v>497</v>
      </c>
      <c r="J2017" t="s">
        <v>497</v>
      </c>
    </row>
    <row r="2018" spans="1:10" hidden="1" x14ac:dyDescent="0.25">
      <c r="A2018" t="s">
        <v>146</v>
      </c>
      <c r="B2018" t="s">
        <v>6</v>
      </c>
      <c r="C2018" t="s">
        <v>7</v>
      </c>
      <c r="D2018" t="s">
        <v>10</v>
      </c>
      <c r="E2018" s="2">
        <v>43336.263206018521</v>
      </c>
      <c r="F2018" t="s">
        <v>585</v>
      </c>
      <c r="G2018" t="s">
        <v>318</v>
      </c>
      <c r="H2018" t="s">
        <v>454</v>
      </c>
      <c r="I2018" t="s">
        <v>494</v>
      </c>
      <c r="J2018" t="s">
        <v>501</v>
      </c>
    </row>
    <row r="2019" spans="1:10" hidden="1" x14ac:dyDescent="0.25">
      <c r="A2019" t="s">
        <v>79</v>
      </c>
      <c r="B2019" t="s">
        <v>6</v>
      </c>
      <c r="C2019" t="s">
        <v>7</v>
      </c>
      <c r="D2019" t="s">
        <v>10</v>
      </c>
      <c r="E2019" s="2">
        <v>43336.26321759259</v>
      </c>
      <c r="F2019" t="s">
        <v>299</v>
      </c>
      <c r="G2019" t="s">
        <v>323</v>
      </c>
      <c r="H2019" t="s">
        <v>426</v>
      </c>
      <c r="I2019" t="s">
        <v>492</v>
      </c>
      <c r="J2019" t="s">
        <v>546</v>
      </c>
    </row>
    <row r="2020" spans="1:10" hidden="1" x14ac:dyDescent="0.25">
      <c r="A2020" t="s">
        <v>160</v>
      </c>
      <c r="B2020" t="s">
        <v>6</v>
      </c>
      <c r="C2020" t="s">
        <v>7</v>
      </c>
      <c r="D2020" t="s">
        <v>10</v>
      </c>
      <c r="E2020" s="2">
        <v>43336.263310185182</v>
      </c>
      <c r="F2020" t="s">
        <v>298</v>
      </c>
      <c r="G2020" t="s">
        <v>318</v>
      </c>
      <c r="H2020" t="s">
        <v>426</v>
      </c>
      <c r="I2020" t="s">
        <v>492</v>
      </c>
      <c r="J2020" t="s">
        <v>493</v>
      </c>
    </row>
    <row r="2021" spans="1:10" hidden="1" x14ac:dyDescent="0.25">
      <c r="A2021" t="s">
        <v>254</v>
      </c>
      <c r="B2021" t="s">
        <v>6</v>
      </c>
      <c r="C2021" t="s">
        <v>7</v>
      </c>
      <c r="D2021" t="s">
        <v>10</v>
      </c>
      <c r="E2021" s="2">
        <v>43336.263310185182</v>
      </c>
      <c r="F2021" t="s">
        <v>300</v>
      </c>
      <c r="G2021" t="s">
        <v>453</v>
      </c>
      <c r="H2021" t="s">
        <v>442</v>
      </c>
      <c r="I2021" t="s">
        <v>494</v>
      </c>
      <c r="J2021" t="s">
        <v>583</v>
      </c>
    </row>
    <row r="2022" spans="1:10" hidden="1" x14ac:dyDescent="0.25">
      <c r="A2022" t="s">
        <v>351</v>
      </c>
      <c r="B2022" t="s">
        <v>6</v>
      </c>
      <c r="C2022" t="s">
        <v>7</v>
      </c>
      <c r="D2022" t="s">
        <v>10</v>
      </c>
      <c r="E2022" s="2">
        <v>43336.263333333336</v>
      </c>
      <c r="F2022" t="s">
        <v>587</v>
      </c>
      <c r="G2022" t="s">
        <v>459</v>
      </c>
      <c r="H2022" t="s">
        <v>442</v>
      </c>
      <c r="I2022" t="s">
        <v>580</v>
      </c>
      <c r="J2022" t="s">
        <v>491</v>
      </c>
    </row>
    <row r="2023" spans="1:10" hidden="1" x14ac:dyDescent="0.25">
      <c r="A2023" t="s">
        <v>209</v>
      </c>
      <c r="B2023" t="s">
        <v>6</v>
      </c>
      <c r="C2023" t="s">
        <v>7</v>
      </c>
      <c r="D2023" t="s">
        <v>10</v>
      </c>
      <c r="E2023" s="2">
        <v>43336.263379629629</v>
      </c>
      <c r="F2023" t="s">
        <v>303</v>
      </c>
      <c r="G2023" t="s">
        <v>430</v>
      </c>
      <c r="H2023" t="s">
        <v>439</v>
      </c>
      <c r="I2023" t="s">
        <v>494</v>
      </c>
      <c r="J2023" t="s">
        <v>501</v>
      </c>
    </row>
    <row r="2024" spans="1:10" hidden="1" x14ac:dyDescent="0.25">
      <c r="A2024" t="s">
        <v>281</v>
      </c>
      <c r="B2024" t="s">
        <v>6</v>
      </c>
      <c r="C2024" t="s">
        <v>7</v>
      </c>
      <c r="D2024" t="s">
        <v>10</v>
      </c>
      <c r="E2024" s="2">
        <v>43336.263449074075</v>
      </c>
      <c r="F2024" t="s">
        <v>590</v>
      </c>
      <c r="G2024" t="s">
        <v>430</v>
      </c>
      <c r="H2024" t="s">
        <v>448</v>
      </c>
      <c r="I2024" t="s">
        <v>499</v>
      </c>
      <c r="J2024" t="s">
        <v>497</v>
      </c>
    </row>
    <row r="2025" spans="1:10" hidden="1" x14ac:dyDescent="0.25">
      <c r="A2025" t="s">
        <v>408</v>
      </c>
      <c r="B2025" t="s">
        <v>6</v>
      </c>
      <c r="C2025" t="s">
        <v>7</v>
      </c>
      <c r="D2025" t="s">
        <v>10</v>
      </c>
      <c r="E2025" s="2">
        <v>43336.263715277775</v>
      </c>
      <c r="F2025" t="s">
        <v>586</v>
      </c>
      <c r="G2025" t="s">
        <v>318</v>
      </c>
      <c r="H2025" t="s">
        <v>462</v>
      </c>
      <c r="I2025" t="s">
        <v>490</v>
      </c>
      <c r="J2025" t="s">
        <v>491</v>
      </c>
    </row>
    <row r="2026" spans="1:10" hidden="1" x14ac:dyDescent="0.25">
      <c r="A2026" t="s">
        <v>80</v>
      </c>
      <c r="B2026" t="s">
        <v>6</v>
      </c>
      <c r="C2026" t="s">
        <v>7</v>
      </c>
      <c r="D2026" t="s">
        <v>476</v>
      </c>
      <c r="E2026" s="2">
        <v>43336.263761574075</v>
      </c>
      <c r="F2026" t="s">
        <v>591</v>
      </c>
      <c r="G2026" t="s">
        <v>318</v>
      </c>
      <c r="H2026" t="s">
        <v>462</v>
      </c>
      <c r="I2026" t="s">
        <v>497</v>
      </c>
      <c r="J2026" t="s">
        <v>497</v>
      </c>
    </row>
    <row r="2027" spans="1:10" hidden="1" x14ac:dyDescent="0.25">
      <c r="A2027" t="s">
        <v>291</v>
      </c>
      <c r="B2027" t="s">
        <v>6</v>
      </c>
      <c r="C2027" t="s">
        <v>7</v>
      </c>
      <c r="D2027" t="s">
        <v>10</v>
      </c>
      <c r="E2027" s="2">
        <v>43336.263842592591</v>
      </c>
      <c r="F2027" t="s">
        <v>585</v>
      </c>
      <c r="G2027" t="s">
        <v>318</v>
      </c>
      <c r="H2027" t="s">
        <v>455</v>
      </c>
      <c r="I2027" t="s">
        <v>494</v>
      </c>
      <c r="J2027" t="s">
        <v>501</v>
      </c>
    </row>
    <row r="2028" spans="1:10" hidden="1" x14ac:dyDescent="0.25">
      <c r="A2028" t="s">
        <v>103</v>
      </c>
      <c r="B2028" t="s">
        <v>6</v>
      </c>
      <c r="C2028" t="s">
        <v>7</v>
      </c>
      <c r="D2028" t="s">
        <v>10</v>
      </c>
      <c r="E2028" s="2">
        <v>43336.263865740744</v>
      </c>
      <c r="F2028" t="s">
        <v>299</v>
      </c>
      <c r="G2028" t="s">
        <v>323</v>
      </c>
      <c r="H2028" t="s">
        <v>427</v>
      </c>
      <c r="I2028" t="s">
        <v>492</v>
      </c>
      <c r="J2028" t="s">
        <v>546</v>
      </c>
    </row>
    <row r="2029" spans="1:10" hidden="1" x14ac:dyDescent="0.25">
      <c r="A2029" t="s">
        <v>157</v>
      </c>
      <c r="B2029" t="s">
        <v>6</v>
      </c>
      <c r="C2029" t="s">
        <v>7</v>
      </c>
      <c r="D2029" t="s">
        <v>13</v>
      </c>
      <c r="E2029" s="2">
        <v>43336.263993055552</v>
      </c>
      <c r="F2029" t="s">
        <v>298</v>
      </c>
      <c r="G2029" t="s">
        <v>318</v>
      </c>
      <c r="H2029" t="s">
        <v>427</v>
      </c>
      <c r="I2029" t="s">
        <v>13</v>
      </c>
      <c r="J2029" t="s">
        <v>535</v>
      </c>
    </row>
    <row r="2030" spans="1:10" hidden="1" x14ac:dyDescent="0.25">
      <c r="A2030" t="s">
        <v>179</v>
      </c>
      <c r="B2030" t="s">
        <v>6</v>
      </c>
      <c r="C2030" t="s">
        <v>7</v>
      </c>
      <c r="D2030" t="s">
        <v>10</v>
      </c>
      <c r="E2030" s="2">
        <v>43336.264004629629</v>
      </c>
      <c r="F2030" t="s">
        <v>303</v>
      </c>
      <c r="G2030" t="s">
        <v>430</v>
      </c>
      <c r="H2030" t="s">
        <v>440</v>
      </c>
      <c r="I2030" t="s">
        <v>494</v>
      </c>
      <c r="J2030" t="s">
        <v>501</v>
      </c>
    </row>
    <row r="2031" spans="1:10" hidden="1" x14ac:dyDescent="0.25">
      <c r="A2031" t="s">
        <v>115</v>
      </c>
      <c r="B2031" t="s">
        <v>6</v>
      </c>
      <c r="C2031" t="s">
        <v>7</v>
      </c>
      <c r="D2031" t="s">
        <v>10</v>
      </c>
      <c r="E2031" s="2">
        <v>43336.264050925929</v>
      </c>
      <c r="F2031" t="s">
        <v>590</v>
      </c>
      <c r="G2031" t="s">
        <v>430</v>
      </c>
      <c r="H2031" t="s">
        <v>449</v>
      </c>
      <c r="I2031" t="s">
        <v>499</v>
      </c>
      <c r="J2031" t="s">
        <v>497</v>
      </c>
    </row>
    <row r="2032" spans="1:10" hidden="1" x14ac:dyDescent="0.25">
      <c r="A2032" t="s">
        <v>255</v>
      </c>
      <c r="B2032" t="s">
        <v>6</v>
      </c>
      <c r="C2032" t="s">
        <v>7</v>
      </c>
      <c r="D2032" t="s">
        <v>27</v>
      </c>
      <c r="E2032" s="2">
        <v>43336.264074074075</v>
      </c>
      <c r="F2032" t="s">
        <v>300</v>
      </c>
      <c r="G2032" t="s">
        <v>453</v>
      </c>
      <c r="H2032" t="s">
        <v>443</v>
      </c>
      <c r="I2032" t="s">
        <v>494</v>
      </c>
      <c r="J2032" t="s">
        <v>583</v>
      </c>
    </row>
    <row r="2033" spans="1:10" hidden="1" x14ac:dyDescent="0.25">
      <c r="A2033" t="s">
        <v>352</v>
      </c>
      <c r="B2033" t="s">
        <v>6</v>
      </c>
      <c r="C2033" t="s">
        <v>7</v>
      </c>
      <c r="D2033" t="s">
        <v>27</v>
      </c>
      <c r="E2033" s="2">
        <v>43336.264074074075</v>
      </c>
      <c r="F2033" t="s">
        <v>587</v>
      </c>
      <c r="G2033" t="s">
        <v>459</v>
      </c>
      <c r="H2033" t="s">
        <v>443</v>
      </c>
      <c r="I2033" t="s">
        <v>579</v>
      </c>
      <c r="J2033" t="s">
        <v>491</v>
      </c>
    </row>
    <row r="2034" spans="1:10" hidden="1" x14ac:dyDescent="0.25">
      <c r="A2034" t="s">
        <v>335</v>
      </c>
      <c r="B2034" t="s">
        <v>6</v>
      </c>
      <c r="C2034" t="s">
        <v>7</v>
      </c>
      <c r="D2034" t="s">
        <v>10</v>
      </c>
      <c r="E2034" s="2">
        <v>43336.264317129629</v>
      </c>
      <c r="F2034" t="s">
        <v>586</v>
      </c>
      <c r="G2034" t="s">
        <v>318</v>
      </c>
      <c r="H2034" t="s">
        <v>453</v>
      </c>
      <c r="I2034" t="s">
        <v>490</v>
      </c>
      <c r="J2034" t="s">
        <v>491</v>
      </c>
    </row>
    <row r="2035" spans="1:10" hidden="1" x14ac:dyDescent="0.25">
      <c r="A2035" t="s">
        <v>292</v>
      </c>
      <c r="B2035" t="s">
        <v>6</v>
      </c>
      <c r="C2035" t="s">
        <v>7</v>
      </c>
      <c r="D2035" t="s">
        <v>10</v>
      </c>
      <c r="E2035" s="2">
        <v>43336.264490740738</v>
      </c>
      <c r="F2035" t="s">
        <v>585</v>
      </c>
      <c r="G2035" t="s">
        <v>318</v>
      </c>
      <c r="H2035" t="s">
        <v>456</v>
      </c>
      <c r="I2035" t="s">
        <v>494</v>
      </c>
      <c r="J2035" t="s">
        <v>501</v>
      </c>
    </row>
    <row r="2036" spans="1:10" hidden="1" x14ac:dyDescent="0.25">
      <c r="A2036" t="s">
        <v>395</v>
      </c>
      <c r="B2036" t="s">
        <v>6</v>
      </c>
      <c r="C2036" t="s">
        <v>7</v>
      </c>
      <c r="D2036" t="s">
        <v>13</v>
      </c>
      <c r="E2036" s="2">
        <v>43336.264502314814</v>
      </c>
      <c r="F2036" t="s">
        <v>591</v>
      </c>
      <c r="G2036" t="s">
        <v>318</v>
      </c>
      <c r="H2036" t="s">
        <v>453</v>
      </c>
      <c r="I2036" t="s">
        <v>548</v>
      </c>
      <c r="J2036" t="s">
        <v>549</v>
      </c>
    </row>
    <row r="2037" spans="1:10" hidden="1" x14ac:dyDescent="0.25">
      <c r="A2037" t="s">
        <v>82</v>
      </c>
      <c r="B2037" t="s">
        <v>6</v>
      </c>
      <c r="C2037" t="s">
        <v>7</v>
      </c>
      <c r="D2037" t="s">
        <v>10</v>
      </c>
      <c r="E2037" s="2">
        <v>43336.264513888891</v>
      </c>
      <c r="F2037" t="s">
        <v>299</v>
      </c>
      <c r="G2037" t="s">
        <v>323</v>
      </c>
      <c r="H2037" t="s">
        <v>428</v>
      </c>
      <c r="I2037" t="s">
        <v>492</v>
      </c>
      <c r="J2037" t="s">
        <v>546</v>
      </c>
    </row>
    <row r="2038" spans="1:10" hidden="1" x14ac:dyDescent="0.25">
      <c r="A2038" t="s">
        <v>177</v>
      </c>
      <c r="B2038" t="s">
        <v>6</v>
      </c>
      <c r="C2038" t="s">
        <v>7</v>
      </c>
      <c r="D2038" t="s">
        <v>10</v>
      </c>
      <c r="E2038" s="2">
        <v>43336.264641203707</v>
      </c>
      <c r="F2038" t="s">
        <v>303</v>
      </c>
      <c r="G2038" t="s">
        <v>430</v>
      </c>
      <c r="H2038" t="s">
        <v>441</v>
      </c>
      <c r="I2038" t="s">
        <v>494</v>
      </c>
      <c r="J2038" t="s">
        <v>501</v>
      </c>
    </row>
    <row r="2039" spans="1:10" hidden="1" x14ac:dyDescent="0.25">
      <c r="A2039" t="s">
        <v>186</v>
      </c>
      <c r="B2039" t="s">
        <v>6</v>
      </c>
      <c r="C2039" t="s">
        <v>7</v>
      </c>
      <c r="D2039" t="s">
        <v>476</v>
      </c>
      <c r="E2039" s="2">
        <v>43336.264664351853</v>
      </c>
      <c r="F2039" t="s">
        <v>590</v>
      </c>
      <c r="G2039" t="s">
        <v>430</v>
      </c>
      <c r="H2039" t="s">
        <v>450</v>
      </c>
      <c r="I2039" t="s">
        <v>496</v>
      </c>
      <c r="J2039" t="s">
        <v>497</v>
      </c>
    </row>
    <row r="2040" spans="1:10" hidden="1" x14ac:dyDescent="0.25">
      <c r="A2040" t="s">
        <v>353</v>
      </c>
      <c r="B2040" t="s">
        <v>6</v>
      </c>
      <c r="C2040" t="s">
        <v>7</v>
      </c>
      <c r="D2040" t="s">
        <v>10</v>
      </c>
      <c r="E2040" s="2">
        <v>43336.264687499999</v>
      </c>
      <c r="F2040" t="s">
        <v>587</v>
      </c>
      <c r="G2040" t="s">
        <v>459</v>
      </c>
      <c r="H2040" t="s">
        <v>444</v>
      </c>
      <c r="I2040" t="s">
        <v>588</v>
      </c>
      <c r="J2040" t="s">
        <v>491</v>
      </c>
    </row>
    <row r="2041" spans="1:10" hidden="1" x14ac:dyDescent="0.25">
      <c r="A2041" t="s">
        <v>244</v>
      </c>
      <c r="B2041" t="s">
        <v>6</v>
      </c>
      <c r="C2041" t="s">
        <v>7</v>
      </c>
      <c r="D2041" t="s">
        <v>10</v>
      </c>
      <c r="E2041" s="2">
        <v>43336.264722222222</v>
      </c>
      <c r="F2041" t="s">
        <v>300</v>
      </c>
      <c r="G2041" t="s">
        <v>453</v>
      </c>
      <c r="H2041" t="s">
        <v>444</v>
      </c>
      <c r="I2041" t="s">
        <v>494</v>
      </c>
      <c r="J2041" t="s">
        <v>583</v>
      </c>
    </row>
    <row r="2042" spans="1:10" hidden="1" x14ac:dyDescent="0.25">
      <c r="A2042" t="s">
        <v>336</v>
      </c>
      <c r="B2042" t="s">
        <v>6</v>
      </c>
      <c r="C2042" t="s">
        <v>7</v>
      </c>
      <c r="D2042" t="s">
        <v>10</v>
      </c>
      <c r="E2042" s="2">
        <v>43336.26494212963</v>
      </c>
      <c r="F2042" t="s">
        <v>586</v>
      </c>
      <c r="G2042" t="s">
        <v>318</v>
      </c>
      <c r="H2042" t="s">
        <v>454</v>
      </c>
      <c r="I2042" t="s">
        <v>490</v>
      </c>
      <c r="J2042" t="s">
        <v>491</v>
      </c>
    </row>
    <row r="2043" spans="1:10" hidden="1" x14ac:dyDescent="0.25">
      <c r="A2043" t="s">
        <v>170</v>
      </c>
      <c r="B2043" t="s">
        <v>6</v>
      </c>
      <c r="C2043" t="s">
        <v>7</v>
      </c>
      <c r="D2043" t="s">
        <v>10</v>
      </c>
      <c r="E2043" s="2">
        <v>43336.265115740738</v>
      </c>
      <c r="F2043" t="s">
        <v>585</v>
      </c>
      <c r="G2043" t="s">
        <v>318</v>
      </c>
      <c r="H2043" t="s">
        <v>426</v>
      </c>
      <c r="I2043" t="s">
        <v>494</v>
      </c>
      <c r="J2043" t="s">
        <v>501</v>
      </c>
    </row>
    <row r="2044" spans="1:10" hidden="1" x14ac:dyDescent="0.25">
      <c r="A2044" t="s">
        <v>81</v>
      </c>
      <c r="B2044" t="s">
        <v>6</v>
      </c>
      <c r="C2044" t="s">
        <v>7</v>
      </c>
      <c r="D2044" t="s">
        <v>10</v>
      </c>
      <c r="E2044" s="2">
        <v>43336.265196759261</v>
      </c>
      <c r="F2044" t="s">
        <v>299</v>
      </c>
      <c r="G2044" t="s">
        <v>323</v>
      </c>
      <c r="H2044" t="s">
        <v>429</v>
      </c>
      <c r="I2044" t="s">
        <v>533</v>
      </c>
      <c r="J2044" t="s">
        <v>543</v>
      </c>
    </row>
    <row r="2045" spans="1:10" hidden="1" x14ac:dyDescent="0.25">
      <c r="A2045" t="s">
        <v>365</v>
      </c>
      <c r="B2045" t="s">
        <v>6</v>
      </c>
      <c r="C2045" t="s">
        <v>7</v>
      </c>
      <c r="D2045" t="s">
        <v>13</v>
      </c>
      <c r="E2045" s="2">
        <v>43336.265231481484</v>
      </c>
      <c r="F2045" t="s">
        <v>591</v>
      </c>
      <c r="G2045" t="s">
        <v>318</v>
      </c>
      <c r="H2045" t="s">
        <v>454</v>
      </c>
      <c r="I2045" t="s">
        <v>548</v>
      </c>
      <c r="J2045" t="s">
        <v>550</v>
      </c>
    </row>
    <row r="2046" spans="1:10" hidden="1" x14ac:dyDescent="0.25">
      <c r="A2046" t="s">
        <v>287</v>
      </c>
      <c r="B2046" t="s">
        <v>6</v>
      </c>
      <c r="C2046" t="s">
        <v>7</v>
      </c>
      <c r="D2046" t="s">
        <v>476</v>
      </c>
      <c r="E2046" s="2">
        <v>43336.26525462963</v>
      </c>
      <c r="F2046" t="s">
        <v>303</v>
      </c>
      <c r="G2046" t="s">
        <v>430</v>
      </c>
      <c r="H2046" t="s">
        <v>442</v>
      </c>
      <c r="I2046" t="s">
        <v>494</v>
      </c>
      <c r="J2046" t="s">
        <v>501</v>
      </c>
    </row>
    <row r="2047" spans="1:10" hidden="1" x14ac:dyDescent="0.25">
      <c r="A2047" t="s">
        <v>46</v>
      </c>
      <c r="B2047" t="s">
        <v>6</v>
      </c>
      <c r="C2047" t="s">
        <v>7</v>
      </c>
      <c r="D2047" t="s">
        <v>476</v>
      </c>
      <c r="E2047" s="2">
        <v>43336.265289351853</v>
      </c>
      <c r="F2047" t="s">
        <v>590</v>
      </c>
      <c r="G2047" t="s">
        <v>430</v>
      </c>
      <c r="H2047" t="s">
        <v>451</v>
      </c>
      <c r="I2047" t="s">
        <v>497</v>
      </c>
      <c r="J2047" t="s">
        <v>497</v>
      </c>
    </row>
    <row r="2048" spans="1:10" hidden="1" x14ac:dyDescent="0.25">
      <c r="A2048" t="s">
        <v>354</v>
      </c>
      <c r="B2048" t="s">
        <v>6</v>
      </c>
      <c r="C2048" t="s">
        <v>7</v>
      </c>
      <c r="D2048" t="s">
        <v>10</v>
      </c>
      <c r="E2048" s="2">
        <v>43336.265300925923</v>
      </c>
      <c r="F2048" t="s">
        <v>587</v>
      </c>
      <c r="G2048" t="s">
        <v>459</v>
      </c>
      <c r="H2048" t="s">
        <v>445</v>
      </c>
      <c r="I2048" t="s">
        <v>539</v>
      </c>
      <c r="J2048" t="s">
        <v>491</v>
      </c>
    </row>
    <row r="2049" spans="1:10" hidden="1" x14ac:dyDescent="0.25">
      <c r="A2049" t="s">
        <v>256</v>
      </c>
      <c r="B2049" t="s">
        <v>6</v>
      </c>
      <c r="C2049" t="s">
        <v>7</v>
      </c>
      <c r="D2049" t="s">
        <v>10</v>
      </c>
      <c r="E2049" s="2">
        <v>43336.2653587963</v>
      </c>
      <c r="F2049" t="s">
        <v>300</v>
      </c>
      <c r="G2049" t="s">
        <v>453</v>
      </c>
      <c r="H2049" t="s">
        <v>445</v>
      </c>
      <c r="I2049" t="s">
        <v>494</v>
      </c>
      <c r="J2049" t="s">
        <v>583</v>
      </c>
    </row>
    <row r="2050" spans="1:10" hidden="1" x14ac:dyDescent="0.25">
      <c r="A2050" t="s">
        <v>222</v>
      </c>
      <c r="B2050" t="s">
        <v>6</v>
      </c>
      <c r="C2050" t="s">
        <v>7</v>
      </c>
      <c r="D2050" t="s">
        <v>484</v>
      </c>
      <c r="E2050" s="2">
        <v>43336.265393518515</v>
      </c>
      <c r="F2050" t="s">
        <v>298</v>
      </c>
      <c r="G2050" t="s">
        <v>318</v>
      </c>
      <c r="H2050" t="s">
        <v>428</v>
      </c>
      <c r="I2050" t="s">
        <v>13</v>
      </c>
      <c r="J2050" t="s">
        <v>532</v>
      </c>
    </row>
    <row r="2051" spans="1:10" hidden="1" x14ac:dyDescent="0.25">
      <c r="A2051" t="s">
        <v>337</v>
      </c>
      <c r="B2051" t="s">
        <v>6</v>
      </c>
      <c r="C2051" t="s">
        <v>7</v>
      </c>
      <c r="D2051" t="s">
        <v>10</v>
      </c>
      <c r="E2051" s="2">
        <v>43336.265555555554</v>
      </c>
      <c r="F2051" t="s">
        <v>586</v>
      </c>
      <c r="G2051" t="s">
        <v>318</v>
      </c>
      <c r="H2051" t="s">
        <v>455</v>
      </c>
      <c r="I2051" t="s">
        <v>490</v>
      </c>
      <c r="J2051" t="s">
        <v>491</v>
      </c>
    </row>
    <row r="2052" spans="1:10" hidden="1" x14ac:dyDescent="0.25">
      <c r="A2052" t="s">
        <v>293</v>
      </c>
      <c r="B2052" t="s">
        <v>6</v>
      </c>
      <c r="C2052" t="s">
        <v>7</v>
      </c>
      <c r="D2052" t="s">
        <v>10</v>
      </c>
      <c r="E2052" s="2">
        <v>43336.265740740739</v>
      </c>
      <c r="F2052" t="s">
        <v>585</v>
      </c>
      <c r="G2052" t="s">
        <v>318</v>
      </c>
      <c r="H2052" t="s">
        <v>427</v>
      </c>
      <c r="I2052" t="s">
        <v>494</v>
      </c>
      <c r="J2052" t="s">
        <v>501</v>
      </c>
    </row>
    <row r="2053" spans="1:10" hidden="1" x14ac:dyDescent="0.25">
      <c r="A2053" t="s">
        <v>153</v>
      </c>
      <c r="B2053" t="s">
        <v>6</v>
      </c>
      <c r="C2053" t="s">
        <v>7</v>
      </c>
      <c r="D2053" t="s">
        <v>10</v>
      </c>
      <c r="E2053" s="2">
        <v>43336.265844907408</v>
      </c>
      <c r="F2053" t="s">
        <v>299</v>
      </c>
      <c r="G2053" t="s">
        <v>323</v>
      </c>
      <c r="H2053" t="s">
        <v>430</v>
      </c>
      <c r="I2053" t="s">
        <v>533</v>
      </c>
      <c r="J2053" t="s">
        <v>543</v>
      </c>
    </row>
    <row r="2054" spans="1:10" hidden="1" x14ac:dyDescent="0.25">
      <c r="A2054" t="s">
        <v>185</v>
      </c>
      <c r="B2054" t="s">
        <v>6</v>
      </c>
      <c r="C2054" t="s">
        <v>7</v>
      </c>
      <c r="D2054" t="s">
        <v>10</v>
      </c>
      <c r="E2054" s="2">
        <v>43336.2658912037</v>
      </c>
      <c r="F2054" t="s">
        <v>303</v>
      </c>
      <c r="G2054" t="s">
        <v>430</v>
      </c>
      <c r="H2054" t="s">
        <v>443</v>
      </c>
      <c r="I2054" t="s">
        <v>494</v>
      </c>
      <c r="J2054" t="s">
        <v>501</v>
      </c>
    </row>
    <row r="2055" spans="1:10" hidden="1" x14ac:dyDescent="0.25">
      <c r="A2055" t="s">
        <v>355</v>
      </c>
      <c r="B2055" t="s">
        <v>6</v>
      </c>
      <c r="C2055" t="s">
        <v>7</v>
      </c>
      <c r="D2055" t="s">
        <v>10</v>
      </c>
      <c r="E2055" s="2">
        <v>43336.265925925924</v>
      </c>
      <c r="F2055" t="s">
        <v>587</v>
      </c>
      <c r="G2055" t="s">
        <v>459</v>
      </c>
      <c r="H2055" t="s">
        <v>446</v>
      </c>
      <c r="I2055" t="s">
        <v>538</v>
      </c>
      <c r="J2055" t="s">
        <v>491</v>
      </c>
    </row>
    <row r="2056" spans="1:10" hidden="1" x14ac:dyDescent="0.25">
      <c r="A2056" t="s">
        <v>396</v>
      </c>
      <c r="B2056" t="s">
        <v>6</v>
      </c>
      <c r="C2056" t="s">
        <v>7</v>
      </c>
      <c r="D2056" t="s">
        <v>13</v>
      </c>
      <c r="E2056" s="2">
        <v>43336.265960648147</v>
      </c>
      <c r="F2056" t="s">
        <v>591</v>
      </c>
      <c r="G2056" t="s">
        <v>318</v>
      </c>
      <c r="H2056" t="s">
        <v>455</v>
      </c>
      <c r="I2056" t="s">
        <v>548</v>
      </c>
      <c r="J2056" t="s">
        <v>551</v>
      </c>
    </row>
    <row r="2057" spans="1:10" hidden="1" x14ac:dyDescent="0.25">
      <c r="A2057" t="s">
        <v>257</v>
      </c>
      <c r="B2057" t="s">
        <v>6</v>
      </c>
      <c r="C2057" t="s">
        <v>7</v>
      </c>
      <c r="D2057" t="s">
        <v>10</v>
      </c>
      <c r="E2057" s="2">
        <v>43336.266006944446</v>
      </c>
      <c r="F2057" t="s">
        <v>300</v>
      </c>
      <c r="G2057" t="s">
        <v>453</v>
      </c>
      <c r="H2057" t="s">
        <v>446</v>
      </c>
      <c r="I2057" t="s">
        <v>584</v>
      </c>
      <c r="J2057" t="s">
        <v>584</v>
      </c>
    </row>
    <row r="2058" spans="1:10" hidden="1" x14ac:dyDescent="0.25">
      <c r="A2058" t="s">
        <v>230</v>
      </c>
      <c r="B2058" t="s">
        <v>6</v>
      </c>
      <c r="C2058" t="s">
        <v>7</v>
      </c>
      <c r="D2058" t="s">
        <v>10</v>
      </c>
      <c r="E2058" s="2">
        <v>43336.266006944446</v>
      </c>
      <c r="F2058" t="s">
        <v>298</v>
      </c>
      <c r="G2058" t="s">
        <v>318</v>
      </c>
      <c r="H2058" t="s">
        <v>429</v>
      </c>
      <c r="I2058" t="s">
        <v>509</v>
      </c>
      <c r="J2058" t="s">
        <v>510</v>
      </c>
    </row>
    <row r="2059" spans="1:10" hidden="1" x14ac:dyDescent="0.25">
      <c r="A2059" t="s">
        <v>208</v>
      </c>
      <c r="B2059" t="s">
        <v>6</v>
      </c>
      <c r="C2059" t="s">
        <v>7</v>
      </c>
      <c r="D2059" t="s">
        <v>27</v>
      </c>
      <c r="E2059" s="2">
        <v>43336.266018518516</v>
      </c>
      <c r="F2059" t="s">
        <v>590</v>
      </c>
      <c r="G2059" t="s">
        <v>430</v>
      </c>
      <c r="H2059" t="s">
        <v>452</v>
      </c>
      <c r="I2059" t="s">
        <v>497</v>
      </c>
      <c r="J2059" t="s">
        <v>497</v>
      </c>
    </row>
    <row r="2060" spans="1:10" hidden="1" x14ac:dyDescent="0.25">
      <c r="A2060" t="s">
        <v>338</v>
      </c>
      <c r="B2060" t="s">
        <v>6</v>
      </c>
      <c r="C2060" t="s">
        <v>7</v>
      </c>
      <c r="D2060" t="s">
        <v>27</v>
      </c>
      <c r="E2060" s="2">
        <v>43336.266296296293</v>
      </c>
      <c r="F2060" t="s">
        <v>586</v>
      </c>
      <c r="G2060" t="s">
        <v>318</v>
      </c>
      <c r="H2060" t="s">
        <v>456</v>
      </c>
      <c r="I2060" t="s">
        <v>490</v>
      </c>
      <c r="J2060" t="s">
        <v>491</v>
      </c>
    </row>
    <row r="2061" spans="1:10" hidden="1" x14ac:dyDescent="0.25">
      <c r="A2061" t="s">
        <v>44</v>
      </c>
      <c r="B2061" t="s">
        <v>6</v>
      </c>
      <c r="C2061" t="s">
        <v>7</v>
      </c>
      <c r="D2061" t="s">
        <v>10</v>
      </c>
      <c r="E2061" s="2">
        <v>43336.266365740739</v>
      </c>
      <c r="F2061" t="s">
        <v>585</v>
      </c>
      <c r="G2061" t="s">
        <v>318</v>
      </c>
      <c r="H2061" t="s">
        <v>428</v>
      </c>
      <c r="I2061" t="s">
        <v>494</v>
      </c>
      <c r="J2061" t="s">
        <v>501</v>
      </c>
    </row>
    <row r="2062" spans="1:10" hidden="1" x14ac:dyDescent="0.25">
      <c r="A2062" t="s">
        <v>175</v>
      </c>
      <c r="B2062" t="s">
        <v>6</v>
      </c>
      <c r="C2062" t="s">
        <v>7</v>
      </c>
      <c r="D2062" t="s">
        <v>10</v>
      </c>
      <c r="E2062" s="2">
        <v>43336.266504629632</v>
      </c>
      <c r="F2062" t="s">
        <v>303</v>
      </c>
      <c r="G2062" t="s">
        <v>430</v>
      </c>
      <c r="H2062" t="s">
        <v>444</v>
      </c>
      <c r="I2062" t="s">
        <v>494</v>
      </c>
      <c r="J2062" t="s">
        <v>501</v>
      </c>
    </row>
    <row r="2063" spans="1:10" hidden="1" x14ac:dyDescent="0.25">
      <c r="A2063" t="s">
        <v>99</v>
      </c>
      <c r="B2063" t="s">
        <v>6</v>
      </c>
      <c r="C2063" t="s">
        <v>7</v>
      </c>
      <c r="D2063" t="s">
        <v>10</v>
      </c>
      <c r="E2063" s="2">
        <v>43336.266504629632</v>
      </c>
      <c r="F2063" t="s">
        <v>299</v>
      </c>
      <c r="G2063" t="s">
        <v>323</v>
      </c>
      <c r="H2063" t="s">
        <v>431</v>
      </c>
      <c r="I2063" t="s">
        <v>533</v>
      </c>
      <c r="J2063" t="s">
        <v>543</v>
      </c>
    </row>
    <row r="2064" spans="1:10" hidden="1" x14ac:dyDescent="0.25">
      <c r="A2064" t="s">
        <v>357</v>
      </c>
      <c r="B2064" t="s">
        <v>6</v>
      </c>
      <c r="C2064" t="s">
        <v>7</v>
      </c>
      <c r="D2064" t="s">
        <v>10</v>
      </c>
      <c r="E2064" s="2">
        <v>43336.266539351855</v>
      </c>
      <c r="F2064" t="s">
        <v>587</v>
      </c>
      <c r="G2064" t="s">
        <v>459</v>
      </c>
      <c r="H2064" t="s">
        <v>447</v>
      </c>
      <c r="I2064" t="s">
        <v>536</v>
      </c>
      <c r="J2064" t="s">
        <v>491</v>
      </c>
    </row>
    <row r="2065" spans="1:10" hidden="1" x14ac:dyDescent="0.25">
      <c r="A2065" t="s">
        <v>340</v>
      </c>
      <c r="B2065" t="s">
        <v>6</v>
      </c>
      <c r="C2065" t="s">
        <v>7</v>
      </c>
      <c r="D2065" t="s">
        <v>476</v>
      </c>
      <c r="E2065" s="2">
        <v>43336.266550925924</v>
      </c>
      <c r="F2065" t="s">
        <v>591</v>
      </c>
      <c r="G2065" t="s">
        <v>318</v>
      </c>
      <c r="H2065" t="s">
        <v>456</v>
      </c>
      <c r="I2065" t="s">
        <v>548</v>
      </c>
      <c r="J2065" t="s">
        <v>552</v>
      </c>
    </row>
    <row r="2066" spans="1:10" hidden="1" x14ac:dyDescent="0.25">
      <c r="A2066" t="s">
        <v>226</v>
      </c>
      <c r="B2066" t="s">
        <v>6</v>
      </c>
      <c r="C2066" t="s">
        <v>7</v>
      </c>
      <c r="D2066" t="s">
        <v>10</v>
      </c>
      <c r="E2066" s="2">
        <v>43336.266608796293</v>
      </c>
      <c r="F2066" t="s">
        <v>298</v>
      </c>
      <c r="G2066" t="s">
        <v>318</v>
      </c>
      <c r="H2066" t="s">
        <v>430</v>
      </c>
      <c r="I2066" t="s">
        <v>509</v>
      </c>
      <c r="J2066" t="s">
        <v>510</v>
      </c>
    </row>
    <row r="2067" spans="1:10" hidden="1" x14ac:dyDescent="0.25">
      <c r="A2067" t="s">
        <v>30</v>
      </c>
      <c r="B2067" t="s">
        <v>6</v>
      </c>
      <c r="C2067" t="s">
        <v>7</v>
      </c>
      <c r="D2067" t="s">
        <v>10</v>
      </c>
      <c r="E2067" s="2">
        <v>43336.266643518517</v>
      </c>
      <c r="F2067" t="s">
        <v>590</v>
      </c>
      <c r="G2067" t="s">
        <v>430</v>
      </c>
      <c r="H2067" t="s">
        <v>318</v>
      </c>
      <c r="I2067" t="s">
        <v>494</v>
      </c>
      <c r="J2067" t="s">
        <v>495</v>
      </c>
    </row>
    <row r="2068" spans="1:10" hidden="1" x14ac:dyDescent="0.25">
      <c r="A2068" t="s">
        <v>263</v>
      </c>
      <c r="B2068" t="s">
        <v>6</v>
      </c>
      <c r="C2068" t="s">
        <v>7</v>
      </c>
      <c r="D2068" t="s">
        <v>27</v>
      </c>
      <c r="E2068" s="2">
        <v>43336.266793981478</v>
      </c>
      <c r="F2068" t="s">
        <v>300</v>
      </c>
      <c r="G2068" t="s">
        <v>453</v>
      </c>
      <c r="H2068" t="s">
        <v>447</v>
      </c>
      <c r="I2068" t="s">
        <v>584</v>
      </c>
      <c r="J2068" t="s">
        <v>584</v>
      </c>
    </row>
    <row r="2069" spans="1:10" hidden="1" x14ac:dyDescent="0.25">
      <c r="A2069" t="s">
        <v>133</v>
      </c>
      <c r="B2069" t="s">
        <v>6</v>
      </c>
      <c r="C2069" t="s">
        <v>7</v>
      </c>
      <c r="D2069" t="s">
        <v>476</v>
      </c>
      <c r="E2069" s="2">
        <v>43336.267002314817</v>
      </c>
      <c r="F2069" t="s">
        <v>585</v>
      </c>
      <c r="G2069" t="s">
        <v>318</v>
      </c>
      <c r="H2069" t="s">
        <v>429</v>
      </c>
      <c r="I2069" t="s">
        <v>494</v>
      </c>
      <c r="J2069" t="s">
        <v>501</v>
      </c>
    </row>
    <row r="2070" spans="1:10" hidden="1" x14ac:dyDescent="0.25">
      <c r="A2070" t="s">
        <v>339</v>
      </c>
      <c r="B2070" t="s">
        <v>6</v>
      </c>
      <c r="C2070" t="s">
        <v>7</v>
      </c>
      <c r="D2070" t="s">
        <v>27</v>
      </c>
      <c r="E2070" s="2">
        <v>43336.26703703704</v>
      </c>
      <c r="F2070" t="s">
        <v>586</v>
      </c>
      <c r="G2070" t="s">
        <v>318</v>
      </c>
      <c r="H2070" t="s">
        <v>426</v>
      </c>
      <c r="I2070" t="s">
        <v>490</v>
      </c>
      <c r="J2070" t="s">
        <v>491</v>
      </c>
    </row>
    <row r="2071" spans="1:10" hidden="1" x14ac:dyDescent="0.25">
      <c r="A2071" t="s">
        <v>288</v>
      </c>
      <c r="B2071" t="s">
        <v>6</v>
      </c>
      <c r="C2071" t="s">
        <v>7</v>
      </c>
      <c r="D2071" t="s">
        <v>10</v>
      </c>
      <c r="E2071" s="2">
        <v>43336.267129629632</v>
      </c>
      <c r="F2071" t="s">
        <v>303</v>
      </c>
      <c r="G2071" t="s">
        <v>430</v>
      </c>
      <c r="H2071" t="s">
        <v>445</v>
      </c>
      <c r="I2071" t="s">
        <v>494</v>
      </c>
      <c r="J2071" t="s">
        <v>501</v>
      </c>
    </row>
    <row r="2072" spans="1:10" hidden="1" x14ac:dyDescent="0.25">
      <c r="A2072" t="s">
        <v>358</v>
      </c>
      <c r="B2072" t="s">
        <v>6</v>
      </c>
      <c r="C2072" t="s">
        <v>7</v>
      </c>
      <c r="D2072" t="s">
        <v>10</v>
      </c>
      <c r="E2072" s="2">
        <v>43336.267164351855</v>
      </c>
      <c r="F2072" t="s">
        <v>587</v>
      </c>
      <c r="G2072" t="s">
        <v>459</v>
      </c>
      <c r="H2072" t="s">
        <v>448</v>
      </c>
      <c r="I2072" t="s">
        <v>534</v>
      </c>
      <c r="J2072" t="s">
        <v>520</v>
      </c>
    </row>
    <row r="2073" spans="1:10" hidden="1" x14ac:dyDescent="0.25">
      <c r="A2073" t="s">
        <v>301</v>
      </c>
      <c r="B2073" t="s">
        <v>6</v>
      </c>
      <c r="C2073" t="s">
        <v>7</v>
      </c>
      <c r="D2073" t="s">
        <v>10</v>
      </c>
      <c r="E2073" s="2">
        <v>43336.267187500001</v>
      </c>
      <c r="F2073" t="s">
        <v>591</v>
      </c>
      <c r="G2073" t="s">
        <v>318</v>
      </c>
      <c r="H2073" t="s">
        <v>426</v>
      </c>
      <c r="I2073" t="s">
        <v>513</v>
      </c>
      <c r="J2073" t="s">
        <v>555</v>
      </c>
    </row>
    <row r="2074" spans="1:10" hidden="1" x14ac:dyDescent="0.25">
      <c r="A2074" t="s">
        <v>161</v>
      </c>
      <c r="B2074" t="s">
        <v>6</v>
      </c>
      <c r="C2074" t="s">
        <v>7</v>
      </c>
      <c r="D2074" t="s">
        <v>10</v>
      </c>
      <c r="E2074" s="2">
        <v>43336.267222222225</v>
      </c>
      <c r="F2074" t="s">
        <v>298</v>
      </c>
      <c r="G2074" t="s">
        <v>318</v>
      </c>
      <c r="H2074" t="s">
        <v>431</v>
      </c>
      <c r="I2074" t="s">
        <v>492</v>
      </c>
      <c r="J2074" t="s">
        <v>493</v>
      </c>
    </row>
    <row r="2075" spans="1:10" hidden="1" x14ac:dyDescent="0.25">
      <c r="A2075" t="s">
        <v>29</v>
      </c>
      <c r="B2075" t="s">
        <v>6</v>
      </c>
      <c r="C2075" t="s">
        <v>7</v>
      </c>
      <c r="D2075" t="s">
        <v>476</v>
      </c>
      <c r="E2075" s="2">
        <v>43336.267268518517</v>
      </c>
      <c r="F2075" t="s">
        <v>590</v>
      </c>
      <c r="G2075" t="s">
        <v>430</v>
      </c>
      <c r="H2075" t="s">
        <v>323</v>
      </c>
      <c r="I2075" t="s">
        <v>494</v>
      </c>
      <c r="J2075" t="s">
        <v>497</v>
      </c>
    </row>
    <row r="2076" spans="1:10" hidden="1" x14ac:dyDescent="0.25">
      <c r="A2076" t="s">
        <v>155</v>
      </c>
      <c r="B2076" t="s">
        <v>6</v>
      </c>
      <c r="C2076" t="s">
        <v>7</v>
      </c>
      <c r="D2076" t="s">
        <v>27</v>
      </c>
      <c r="E2076" s="2">
        <v>43336.267326388886</v>
      </c>
      <c r="F2076" t="s">
        <v>299</v>
      </c>
      <c r="G2076" t="s">
        <v>323</v>
      </c>
      <c r="H2076" t="s">
        <v>432</v>
      </c>
      <c r="I2076" t="s">
        <v>553</v>
      </c>
      <c r="J2076" t="s">
        <v>497</v>
      </c>
    </row>
    <row r="2077" spans="1:10" hidden="1" x14ac:dyDescent="0.25">
      <c r="A2077" t="s">
        <v>264</v>
      </c>
      <c r="B2077" t="s">
        <v>6</v>
      </c>
      <c r="C2077" t="s">
        <v>7</v>
      </c>
      <c r="D2077" t="s">
        <v>27</v>
      </c>
      <c r="E2077" s="2">
        <v>43336.267569444448</v>
      </c>
      <c r="F2077" t="s">
        <v>300</v>
      </c>
      <c r="G2077" t="s">
        <v>453</v>
      </c>
      <c r="H2077" t="s">
        <v>448</v>
      </c>
      <c r="I2077" t="s">
        <v>584</v>
      </c>
      <c r="J2077" t="s">
        <v>584</v>
      </c>
    </row>
    <row r="2078" spans="1:10" hidden="1" x14ac:dyDescent="0.25">
      <c r="A2078" t="s">
        <v>124</v>
      </c>
      <c r="B2078" t="s">
        <v>6</v>
      </c>
      <c r="C2078" t="s">
        <v>7</v>
      </c>
      <c r="D2078" t="s">
        <v>10</v>
      </c>
      <c r="E2078" s="2">
        <v>43336.267650462964</v>
      </c>
      <c r="F2078" t="s">
        <v>585</v>
      </c>
      <c r="G2078" t="s">
        <v>318</v>
      </c>
      <c r="H2078" t="s">
        <v>430</v>
      </c>
      <c r="I2078" t="s">
        <v>494</v>
      </c>
      <c r="J2078" t="s">
        <v>501</v>
      </c>
    </row>
    <row r="2079" spans="1:10" hidden="1" x14ac:dyDescent="0.25">
      <c r="A2079" t="s">
        <v>309</v>
      </c>
      <c r="B2079" t="s">
        <v>6</v>
      </c>
      <c r="C2079" t="s">
        <v>7</v>
      </c>
      <c r="D2079" t="s">
        <v>10</v>
      </c>
      <c r="E2079" s="2">
        <v>43336.26767361111</v>
      </c>
      <c r="F2079" t="s">
        <v>586</v>
      </c>
      <c r="G2079" t="s">
        <v>318</v>
      </c>
      <c r="H2079" t="s">
        <v>427</v>
      </c>
      <c r="I2079" t="s">
        <v>490</v>
      </c>
      <c r="J2079" t="s">
        <v>491</v>
      </c>
    </row>
    <row r="2080" spans="1:10" hidden="1" x14ac:dyDescent="0.25">
      <c r="A2080" t="s">
        <v>139</v>
      </c>
      <c r="B2080" t="s">
        <v>6</v>
      </c>
      <c r="C2080" t="s">
        <v>7</v>
      </c>
      <c r="D2080" t="s">
        <v>10</v>
      </c>
      <c r="E2080" s="2">
        <v>43336.267777777779</v>
      </c>
      <c r="F2080" t="s">
        <v>303</v>
      </c>
      <c r="G2080" t="s">
        <v>430</v>
      </c>
      <c r="H2080" t="s">
        <v>446</v>
      </c>
      <c r="I2080" t="s">
        <v>494</v>
      </c>
      <c r="J2080" t="s">
        <v>501</v>
      </c>
    </row>
    <row r="2081" spans="1:10" hidden="1" x14ac:dyDescent="0.25">
      <c r="A2081" t="s">
        <v>378</v>
      </c>
      <c r="B2081" t="s">
        <v>6</v>
      </c>
      <c r="C2081" t="s">
        <v>7</v>
      </c>
      <c r="D2081" t="s">
        <v>10</v>
      </c>
      <c r="E2081" s="2">
        <v>43336.267800925925</v>
      </c>
      <c r="F2081" t="s">
        <v>591</v>
      </c>
      <c r="G2081" t="s">
        <v>318</v>
      </c>
      <c r="H2081" t="s">
        <v>427</v>
      </c>
      <c r="I2081" t="s">
        <v>554</v>
      </c>
      <c r="J2081" t="s">
        <v>556</v>
      </c>
    </row>
    <row r="2082" spans="1:10" hidden="1" x14ac:dyDescent="0.25">
      <c r="A2082" t="s">
        <v>228</v>
      </c>
      <c r="B2082" t="s">
        <v>6</v>
      </c>
      <c r="C2082" t="s">
        <v>7</v>
      </c>
      <c r="D2082" t="s">
        <v>10</v>
      </c>
      <c r="E2082" s="2">
        <v>43336.267835648148</v>
      </c>
      <c r="F2082" t="s">
        <v>298</v>
      </c>
      <c r="G2082" t="s">
        <v>318</v>
      </c>
      <c r="H2082" t="s">
        <v>432</v>
      </c>
      <c r="I2082" t="s">
        <v>509</v>
      </c>
      <c r="J2082" t="s">
        <v>523</v>
      </c>
    </row>
    <row r="2083" spans="1:10" hidden="1" x14ac:dyDescent="0.25">
      <c r="A2083" t="s">
        <v>28</v>
      </c>
      <c r="B2083" t="s">
        <v>6</v>
      </c>
      <c r="C2083" t="s">
        <v>7</v>
      </c>
      <c r="D2083" t="s">
        <v>476</v>
      </c>
      <c r="E2083" s="2">
        <v>43336.267893518518</v>
      </c>
      <c r="F2083" t="s">
        <v>590</v>
      </c>
      <c r="G2083" t="s">
        <v>430</v>
      </c>
      <c r="H2083" t="s">
        <v>385</v>
      </c>
      <c r="I2083" t="s">
        <v>494</v>
      </c>
      <c r="J2083" t="s">
        <v>497</v>
      </c>
    </row>
    <row r="2084" spans="1:10" hidden="1" x14ac:dyDescent="0.25">
      <c r="A2084" t="s">
        <v>382</v>
      </c>
      <c r="B2084" t="s">
        <v>6</v>
      </c>
      <c r="C2084" t="s">
        <v>7</v>
      </c>
      <c r="D2084" t="s">
        <v>27</v>
      </c>
      <c r="E2084" s="2">
        <v>43336.267905092594</v>
      </c>
      <c r="F2084" t="s">
        <v>587</v>
      </c>
      <c r="G2084" t="s">
        <v>459</v>
      </c>
      <c r="H2084" t="s">
        <v>449</v>
      </c>
      <c r="I2084" t="s">
        <v>531</v>
      </c>
      <c r="J2084" t="s">
        <v>520</v>
      </c>
    </row>
    <row r="2085" spans="1:10" hidden="1" x14ac:dyDescent="0.25">
      <c r="A2085" t="s">
        <v>120</v>
      </c>
      <c r="B2085" t="s">
        <v>6</v>
      </c>
      <c r="C2085" t="s">
        <v>219</v>
      </c>
      <c r="D2085" t="s">
        <v>27</v>
      </c>
      <c r="E2085" s="2">
        <v>43336.268101851849</v>
      </c>
      <c r="F2085" t="s">
        <v>299</v>
      </c>
      <c r="G2085" t="s">
        <v>323</v>
      </c>
      <c r="H2085" t="s">
        <v>433</v>
      </c>
      <c r="I2085" t="s">
        <v>553</v>
      </c>
      <c r="J2085" t="s">
        <v>497</v>
      </c>
    </row>
    <row r="2086" spans="1:10" hidden="1" x14ac:dyDescent="0.25">
      <c r="A2086" t="s">
        <v>265</v>
      </c>
      <c r="B2086" t="s">
        <v>6</v>
      </c>
      <c r="C2086" t="s">
        <v>7</v>
      </c>
      <c r="D2086" t="s">
        <v>10</v>
      </c>
      <c r="E2086" s="2">
        <v>43336.268229166664</v>
      </c>
      <c r="F2086" t="s">
        <v>300</v>
      </c>
      <c r="G2086" t="s">
        <v>453</v>
      </c>
      <c r="H2086" t="s">
        <v>449</v>
      </c>
      <c r="I2086" t="s">
        <v>584</v>
      </c>
      <c r="J2086" t="s">
        <v>584</v>
      </c>
    </row>
    <row r="2087" spans="1:10" hidden="1" x14ac:dyDescent="0.25">
      <c r="A2087" t="s">
        <v>43</v>
      </c>
      <c r="B2087" t="s">
        <v>6</v>
      </c>
      <c r="C2087" t="s">
        <v>7</v>
      </c>
      <c r="D2087" t="s">
        <v>10</v>
      </c>
      <c r="E2087" s="2">
        <v>43336.268287037034</v>
      </c>
      <c r="F2087" t="s">
        <v>585</v>
      </c>
      <c r="G2087" t="s">
        <v>318</v>
      </c>
      <c r="H2087" t="s">
        <v>431</v>
      </c>
      <c r="I2087" t="s">
        <v>494</v>
      </c>
      <c r="J2087" t="s">
        <v>501</v>
      </c>
    </row>
    <row r="2088" spans="1:10" hidden="1" x14ac:dyDescent="0.25">
      <c r="A2088" t="s">
        <v>289</v>
      </c>
      <c r="B2088" t="s">
        <v>6</v>
      </c>
      <c r="C2088" t="s">
        <v>7</v>
      </c>
      <c r="D2088" t="s">
        <v>10</v>
      </c>
      <c r="E2088" s="2">
        <v>43336.268414351849</v>
      </c>
      <c r="F2088" t="s">
        <v>303</v>
      </c>
      <c r="G2088" t="s">
        <v>430</v>
      </c>
      <c r="H2088" t="s">
        <v>447</v>
      </c>
      <c r="I2088" t="s">
        <v>494</v>
      </c>
      <c r="J2088" t="s">
        <v>501</v>
      </c>
    </row>
    <row r="2089" spans="1:10" hidden="1" x14ac:dyDescent="0.25">
      <c r="A2089" t="s">
        <v>310</v>
      </c>
      <c r="B2089" t="s">
        <v>6</v>
      </c>
      <c r="C2089" t="s">
        <v>7</v>
      </c>
      <c r="D2089" t="s">
        <v>27</v>
      </c>
      <c r="E2089" s="2">
        <v>43336.268414351849</v>
      </c>
      <c r="F2089" t="s">
        <v>586</v>
      </c>
      <c r="G2089" t="s">
        <v>318</v>
      </c>
      <c r="H2089" t="s">
        <v>428</v>
      </c>
      <c r="I2089" t="s">
        <v>490</v>
      </c>
      <c r="J2089" t="s">
        <v>491</v>
      </c>
    </row>
    <row r="2090" spans="1:10" hidden="1" x14ac:dyDescent="0.25">
      <c r="A2090" t="s">
        <v>87</v>
      </c>
      <c r="B2090" t="s">
        <v>6</v>
      </c>
      <c r="C2090" t="s">
        <v>7</v>
      </c>
      <c r="D2090" t="s">
        <v>10</v>
      </c>
      <c r="E2090" s="2">
        <v>43336.268449074072</v>
      </c>
      <c r="F2090" t="s">
        <v>298</v>
      </c>
      <c r="G2090" t="s">
        <v>318</v>
      </c>
      <c r="H2090" t="s">
        <v>433</v>
      </c>
      <c r="I2090" t="s">
        <v>492</v>
      </c>
      <c r="J2090" t="s">
        <v>521</v>
      </c>
    </row>
    <row r="2091" spans="1:10" hidden="1" x14ac:dyDescent="0.25">
      <c r="A2091" t="s">
        <v>324</v>
      </c>
      <c r="B2091" t="s">
        <v>6</v>
      </c>
      <c r="C2091" t="s">
        <v>7</v>
      </c>
      <c r="D2091" t="s">
        <v>27</v>
      </c>
      <c r="E2091" s="2">
        <v>43336.268518518518</v>
      </c>
      <c r="F2091" t="s">
        <v>591</v>
      </c>
      <c r="G2091" t="s">
        <v>318</v>
      </c>
      <c r="H2091" t="s">
        <v>428</v>
      </c>
      <c r="I2091" t="s">
        <v>554</v>
      </c>
      <c r="J2091" t="s">
        <v>556</v>
      </c>
    </row>
    <row r="2092" spans="1:10" hidden="1" x14ac:dyDescent="0.25">
      <c r="A2092" t="s">
        <v>25</v>
      </c>
      <c r="B2092" t="s">
        <v>6</v>
      </c>
      <c r="C2092" t="s">
        <v>7</v>
      </c>
      <c r="D2092" t="s">
        <v>476</v>
      </c>
      <c r="E2092" s="2">
        <v>43336.268530092595</v>
      </c>
      <c r="F2092" t="s">
        <v>590</v>
      </c>
      <c r="G2092" t="s">
        <v>430</v>
      </c>
      <c r="H2092" t="s">
        <v>457</v>
      </c>
      <c r="I2092" t="s">
        <v>494</v>
      </c>
      <c r="J2092" t="s">
        <v>497</v>
      </c>
    </row>
    <row r="2093" spans="1:10" hidden="1" x14ac:dyDescent="0.25">
      <c r="A2093" t="s">
        <v>481</v>
      </c>
      <c r="B2093" t="s">
        <v>6</v>
      </c>
      <c r="C2093" t="s">
        <v>7</v>
      </c>
      <c r="D2093" t="s">
        <v>27</v>
      </c>
      <c r="E2093" s="2">
        <v>43336.268645833334</v>
      </c>
      <c r="F2093" t="s">
        <v>587</v>
      </c>
      <c r="G2093" t="s">
        <v>459</v>
      </c>
      <c r="H2093" t="s">
        <v>450</v>
      </c>
      <c r="I2093" t="s">
        <v>530</v>
      </c>
      <c r="J2093" t="s">
        <v>520</v>
      </c>
    </row>
    <row r="2094" spans="1:10" hidden="1" x14ac:dyDescent="0.25">
      <c r="A2094" t="s">
        <v>94</v>
      </c>
      <c r="B2094" t="s">
        <v>6</v>
      </c>
      <c r="C2094" t="s">
        <v>7</v>
      </c>
      <c r="D2094" t="s">
        <v>10</v>
      </c>
      <c r="E2094" s="2">
        <v>43336.268761574072</v>
      </c>
      <c r="F2094" t="s">
        <v>299</v>
      </c>
      <c r="G2094" t="s">
        <v>323</v>
      </c>
      <c r="H2094" t="s">
        <v>434</v>
      </c>
      <c r="I2094" t="s">
        <v>492</v>
      </c>
      <c r="J2094" t="s">
        <v>546</v>
      </c>
    </row>
    <row r="2095" spans="1:10" hidden="1" x14ac:dyDescent="0.25">
      <c r="A2095" t="s">
        <v>266</v>
      </c>
      <c r="B2095" t="s">
        <v>6</v>
      </c>
      <c r="C2095" t="s">
        <v>7</v>
      </c>
      <c r="D2095" t="s">
        <v>10</v>
      </c>
      <c r="E2095" s="2">
        <v>43336.268877314818</v>
      </c>
      <c r="F2095" t="s">
        <v>300</v>
      </c>
      <c r="G2095" t="s">
        <v>453</v>
      </c>
      <c r="H2095" t="s">
        <v>450</v>
      </c>
      <c r="I2095" t="s">
        <v>584</v>
      </c>
      <c r="J2095" t="s">
        <v>584</v>
      </c>
    </row>
    <row r="2096" spans="1:10" hidden="1" x14ac:dyDescent="0.25">
      <c r="A2096" t="s">
        <v>42</v>
      </c>
      <c r="B2096" t="s">
        <v>6</v>
      </c>
      <c r="C2096" t="s">
        <v>7</v>
      </c>
      <c r="D2096" t="s">
        <v>10</v>
      </c>
      <c r="E2096" s="2">
        <v>43336.268923611111</v>
      </c>
      <c r="F2096" t="s">
        <v>585</v>
      </c>
      <c r="G2096" t="s">
        <v>318</v>
      </c>
      <c r="H2096" t="s">
        <v>432</v>
      </c>
      <c r="I2096" t="s">
        <v>494</v>
      </c>
      <c r="J2096" t="s">
        <v>501</v>
      </c>
    </row>
    <row r="2097" spans="1:10" hidden="1" x14ac:dyDescent="0.25">
      <c r="A2097" t="s">
        <v>311</v>
      </c>
      <c r="B2097" t="s">
        <v>6</v>
      </c>
      <c r="C2097" t="s">
        <v>7</v>
      </c>
      <c r="D2097" t="s">
        <v>10</v>
      </c>
      <c r="E2097" s="2">
        <v>43336.269016203703</v>
      </c>
      <c r="F2097" t="s">
        <v>586</v>
      </c>
      <c r="G2097" t="s">
        <v>318</v>
      </c>
      <c r="H2097" t="s">
        <v>429</v>
      </c>
      <c r="I2097" t="s">
        <v>490</v>
      </c>
      <c r="J2097" t="s">
        <v>491</v>
      </c>
    </row>
    <row r="2098" spans="1:10" hidden="1" x14ac:dyDescent="0.25">
      <c r="A2098" t="s">
        <v>174</v>
      </c>
      <c r="B2098" t="s">
        <v>6</v>
      </c>
      <c r="C2098" t="s">
        <v>7</v>
      </c>
      <c r="D2098" t="s">
        <v>10</v>
      </c>
      <c r="E2098" s="2">
        <v>43336.269050925926</v>
      </c>
      <c r="F2098" t="s">
        <v>303</v>
      </c>
      <c r="G2098" t="s">
        <v>430</v>
      </c>
      <c r="H2098" t="s">
        <v>448</v>
      </c>
      <c r="I2098" t="s">
        <v>494</v>
      </c>
      <c r="J2098" t="s">
        <v>501</v>
      </c>
    </row>
    <row r="2099" spans="1:10" hidden="1" x14ac:dyDescent="0.25">
      <c r="A2099" t="s">
        <v>325</v>
      </c>
      <c r="B2099" t="s">
        <v>6</v>
      </c>
      <c r="C2099" t="s">
        <v>7</v>
      </c>
      <c r="D2099" t="s">
        <v>10</v>
      </c>
      <c r="E2099" s="2">
        <v>43336.269131944442</v>
      </c>
      <c r="F2099" t="s">
        <v>591</v>
      </c>
      <c r="G2099" t="s">
        <v>318</v>
      </c>
      <c r="H2099" t="s">
        <v>429</v>
      </c>
      <c r="I2099" t="s">
        <v>554</v>
      </c>
      <c r="J2099" t="s">
        <v>556</v>
      </c>
    </row>
    <row r="2100" spans="1:10" hidden="1" x14ac:dyDescent="0.25">
      <c r="A2100" t="s">
        <v>24</v>
      </c>
      <c r="B2100" t="s">
        <v>6</v>
      </c>
      <c r="C2100" t="s">
        <v>7</v>
      </c>
      <c r="D2100" t="s">
        <v>476</v>
      </c>
      <c r="E2100" s="2">
        <v>43336.269155092596</v>
      </c>
      <c r="F2100" t="s">
        <v>590</v>
      </c>
      <c r="G2100" t="s">
        <v>430</v>
      </c>
      <c r="H2100" t="s">
        <v>458</v>
      </c>
      <c r="I2100" t="s">
        <v>494</v>
      </c>
      <c r="J2100" t="s">
        <v>497</v>
      </c>
    </row>
    <row r="2101" spans="1:10" hidden="1" x14ac:dyDescent="0.25">
      <c r="A2101" t="s">
        <v>480</v>
      </c>
      <c r="B2101" t="s">
        <v>6</v>
      </c>
      <c r="C2101" t="s">
        <v>7</v>
      </c>
      <c r="D2101" t="s">
        <v>10</v>
      </c>
      <c r="E2101" s="2">
        <v>43336.269270833334</v>
      </c>
      <c r="F2101" t="s">
        <v>587</v>
      </c>
      <c r="G2101" t="s">
        <v>459</v>
      </c>
      <c r="H2101" t="s">
        <v>451</v>
      </c>
      <c r="I2101" t="s">
        <v>527</v>
      </c>
      <c r="J2101" t="s">
        <v>520</v>
      </c>
    </row>
    <row r="2102" spans="1:10" hidden="1" x14ac:dyDescent="0.25">
      <c r="A2102" t="s">
        <v>91</v>
      </c>
      <c r="B2102" t="s">
        <v>6</v>
      </c>
      <c r="C2102" t="s">
        <v>7</v>
      </c>
      <c r="D2102" t="s">
        <v>10</v>
      </c>
      <c r="E2102" s="2">
        <v>43336.269444444442</v>
      </c>
      <c r="F2102" t="s">
        <v>299</v>
      </c>
      <c r="G2102" t="s">
        <v>323</v>
      </c>
      <c r="H2102" t="s">
        <v>435</v>
      </c>
      <c r="I2102" t="s">
        <v>492</v>
      </c>
      <c r="J2102" t="s">
        <v>546</v>
      </c>
    </row>
    <row r="2103" spans="1:10" hidden="1" x14ac:dyDescent="0.25">
      <c r="A2103" t="s">
        <v>242</v>
      </c>
      <c r="B2103" t="s">
        <v>6</v>
      </c>
      <c r="C2103" t="s">
        <v>7</v>
      </c>
      <c r="D2103" t="s">
        <v>10</v>
      </c>
      <c r="E2103" s="2">
        <v>43336.269525462965</v>
      </c>
      <c r="F2103" t="s">
        <v>300</v>
      </c>
      <c r="G2103" t="s">
        <v>453</v>
      </c>
      <c r="H2103" t="s">
        <v>451</v>
      </c>
      <c r="I2103" t="s">
        <v>498</v>
      </c>
      <c r="J2103" t="s">
        <v>498</v>
      </c>
    </row>
    <row r="2104" spans="1:10" hidden="1" x14ac:dyDescent="0.25">
      <c r="A2104" t="s">
        <v>234</v>
      </c>
      <c r="B2104" t="s">
        <v>6</v>
      </c>
      <c r="C2104" t="s">
        <v>7</v>
      </c>
      <c r="D2104" t="s">
        <v>10</v>
      </c>
      <c r="E2104" s="2">
        <v>43336.269571759258</v>
      </c>
      <c r="F2104" t="s">
        <v>585</v>
      </c>
      <c r="G2104" t="s">
        <v>318</v>
      </c>
      <c r="H2104" t="s">
        <v>433</v>
      </c>
      <c r="I2104" t="s">
        <v>494</v>
      </c>
      <c r="J2104" t="s">
        <v>501</v>
      </c>
    </row>
    <row r="2105" spans="1:10" hidden="1" x14ac:dyDescent="0.25">
      <c r="A2105" t="s">
        <v>312</v>
      </c>
      <c r="B2105" t="s">
        <v>6</v>
      </c>
      <c r="C2105" t="s">
        <v>7</v>
      </c>
      <c r="D2105" t="s">
        <v>10</v>
      </c>
      <c r="E2105" s="2">
        <v>43336.269594907404</v>
      </c>
      <c r="F2105" t="s">
        <v>586</v>
      </c>
      <c r="G2105" t="s">
        <v>318</v>
      </c>
      <c r="H2105" t="s">
        <v>430</v>
      </c>
      <c r="I2105" t="s">
        <v>490</v>
      </c>
      <c r="J2105" t="s">
        <v>491</v>
      </c>
    </row>
    <row r="2106" spans="1:10" hidden="1" x14ac:dyDescent="0.25">
      <c r="A2106" t="s">
        <v>290</v>
      </c>
      <c r="B2106" t="s">
        <v>6</v>
      </c>
      <c r="C2106" t="s">
        <v>7</v>
      </c>
      <c r="D2106" t="s">
        <v>476</v>
      </c>
      <c r="E2106" s="2">
        <v>43336.26971064815</v>
      </c>
      <c r="F2106" t="s">
        <v>303</v>
      </c>
      <c r="G2106" t="s">
        <v>430</v>
      </c>
      <c r="H2106" t="s">
        <v>449</v>
      </c>
      <c r="I2106" t="s">
        <v>494</v>
      </c>
      <c r="J2106" t="s">
        <v>501</v>
      </c>
    </row>
    <row r="2107" spans="1:10" hidden="1" x14ac:dyDescent="0.25">
      <c r="A2107" t="s">
        <v>238</v>
      </c>
      <c r="B2107" t="s">
        <v>6</v>
      </c>
      <c r="C2107" t="s">
        <v>7</v>
      </c>
      <c r="D2107" t="s">
        <v>476</v>
      </c>
      <c r="E2107" s="2">
        <v>43336.269780092596</v>
      </c>
      <c r="F2107" t="s">
        <v>590</v>
      </c>
      <c r="G2107" t="s">
        <v>430</v>
      </c>
      <c r="H2107" t="s">
        <v>459</v>
      </c>
      <c r="I2107" t="s">
        <v>494</v>
      </c>
      <c r="J2107" t="s">
        <v>497</v>
      </c>
    </row>
    <row r="2108" spans="1:10" hidden="1" x14ac:dyDescent="0.25">
      <c r="A2108" t="s">
        <v>366</v>
      </c>
      <c r="B2108" t="s">
        <v>6</v>
      </c>
      <c r="C2108" t="s">
        <v>7</v>
      </c>
      <c r="D2108" t="s">
        <v>13</v>
      </c>
      <c r="E2108" s="2">
        <v>43336.269872685189</v>
      </c>
      <c r="F2108" t="s">
        <v>591</v>
      </c>
      <c r="G2108" t="s">
        <v>318</v>
      </c>
      <c r="H2108" t="s">
        <v>430</v>
      </c>
      <c r="I2108" t="s">
        <v>554</v>
      </c>
      <c r="J2108" t="s">
        <v>556</v>
      </c>
    </row>
    <row r="2109" spans="1:10" hidden="1" x14ac:dyDescent="0.25">
      <c r="A2109" t="s">
        <v>220</v>
      </c>
      <c r="B2109" t="s">
        <v>6</v>
      </c>
      <c r="C2109" t="s">
        <v>7</v>
      </c>
      <c r="D2109" t="s">
        <v>484</v>
      </c>
      <c r="E2109" s="2">
        <v>43336.269884259258</v>
      </c>
      <c r="F2109" t="s">
        <v>298</v>
      </c>
      <c r="G2109" t="s">
        <v>318</v>
      </c>
      <c r="H2109" t="s">
        <v>434</v>
      </c>
      <c r="I2109" t="s">
        <v>509</v>
      </c>
      <c r="J2109" t="s">
        <v>510</v>
      </c>
    </row>
    <row r="2110" spans="1:10" hidden="1" x14ac:dyDescent="0.25">
      <c r="A2110" t="s">
        <v>486</v>
      </c>
      <c r="B2110" t="s">
        <v>6</v>
      </c>
      <c r="C2110" t="s">
        <v>7</v>
      </c>
      <c r="D2110" t="s">
        <v>10</v>
      </c>
      <c r="E2110" s="2">
        <v>43336.269884259258</v>
      </c>
      <c r="F2110" t="s">
        <v>587</v>
      </c>
      <c r="G2110" t="s">
        <v>459</v>
      </c>
      <c r="H2110" t="s">
        <v>452</v>
      </c>
      <c r="I2110" t="s">
        <v>524</v>
      </c>
      <c r="J2110" t="s">
        <v>520</v>
      </c>
    </row>
    <row r="2111" spans="1:10" hidden="1" x14ac:dyDescent="0.25">
      <c r="A2111" t="s">
        <v>89</v>
      </c>
      <c r="B2111" t="s">
        <v>6</v>
      </c>
      <c r="C2111" t="s">
        <v>7</v>
      </c>
      <c r="D2111" t="s">
        <v>10</v>
      </c>
      <c r="E2111" s="2">
        <v>43336.270104166666</v>
      </c>
      <c r="F2111" t="s">
        <v>299</v>
      </c>
      <c r="G2111" t="s">
        <v>323</v>
      </c>
      <c r="H2111" t="s">
        <v>436</v>
      </c>
      <c r="I2111" t="s">
        <v>492</v>
      </c>
      <c r="J2111" t="s">
        <v>546</v>
      </c>
    </row>
    <row r="2112" spans="1:10" hidden="1" x14ac:dyDescent="0.25">
      <c r="A2112" t="s">
        <v>294</v>
      </c>
      <c r="B2112" t="s">
        <v>6</v>
      </c>
      <c r="C2112" t="s">
        <v>7</v>
      </c>
      <c r="D2112" t="s">
        <v>10</v>
      </c>
      <c r="E2112" s="2">
        <v>43336.270208333335</v>
      </c>
      <c r="F2112" t="s">
        <v>585</v>
      </c>
      <c r="G2112" t="s">
        <v>318</v>
      </c>
      <c r="H2112" t="s">
        <v>434</v>
      </c>
      <c r="I2112" t="s">
        <v>494</v>
      </c>
      <c r="J2112" t="s">
        <v>501</v>
      </c>
    </row>
    <row r="2113" spans="1:10" hidden="1" x14ac:dyDescent="0.25">
      <c r="A2113" t="s">
        <v>267</v>
      </c>
      <c r="B2113" t="s">
        <v>6</v>
      </c>
      <c r="C2113" t="s">
        <v>7</v>
      </c>
      <c r="D2113" t="s">
        <v>27</v>
      </c>
      <c r="E2113" s="2">
        <v>43336.270277777781</v>
      </c>
      <c r="F2113" t="s">
        <v>300</v>
      </c>
      <c r="G2113" t="s">
        <v>453</v>
      </c>
      <c r="H2113" t="s">
        <v>452</v>
      </c>
      <c r="I2113" t="s">
        <v>498</v>
      </c>
      <c r="J2113" t="s">
        <v>498</v>
      </c>
    </row>
    <row r="2114" spans="1:10" hidden="1" x14ac:dyDescent="0.25">
      <c r="A2114" t="s">
        <v>236</v>
      </c>
      <c r="B2114" t="s">
        <v>6</v>
      </c>
      <c r="C2114" t="s">
        <v>7</v>
      </c>
      <c r="D2114" t="s">
        <v>10</v>
      </c>
      <c r="E2114" s="2">
        <v>43336.270324074074</v>
      </c>
      <c r="F2114" t="s">
        <v>303</v>
      </c>
      <c r="G2114" t="s">
        <v>430</v>
      </c>
      <c r="H2114" t="s">
        <v>450</v>
      </c>
      <c r="I2114" t="s">
        <v>494</v>
      </c>
      <c r="J2114" t="s">
        <v>501</v>
      </c>
    </row>
    <row r="2115" spans="1:10" hidden="1" x14ac:dyDescent="0.25">
      <c r="A2115" t="s">
        <v>313</v>
      </c>
      <c r="B2115" t="s">
        <v>6</v>
      </c>
      <c r="C2115" t="s">
        <v>7</v>
      </c>
      <c r="D2115" t="s">
        <v>27</v>
      </c>
      <c r="E2115" s="2">
        <v>43336.270335648151</v>
      </c>
      <c r="F2115" t="s">
        <v>586</v>
      </c>
      <c r="G2115" t="s">
        <v>318</v>
      </c>
      <c r="H2115" t="s">
        <v>431</v>
      </c>
      <c r="I2115" t="s">
        <v>490</v>
      </c>
      <c r="J2115" t="s">
        <v>491</v>
      </c>
    </row>
    <row r="2116" spans="1:10" hidden="1" x14ac:dyDescent="0.25">
      <c r="A2116" t="s">
        <v>379</v>
      </c>
      <c r="B2116" t="s">
        <v>6</v>
      </c>
      <c r="C2116" t="s">
        <v>7</v>
      </c>
      <c r="D2116" t="s">
        <v>476</v>
      </c>
      <c r="E2116" s="2">
        <v>43336.270486111112</v>
      </c>
      <c r="F2116" t="s">
        <v>591</v>
      </c>
      <c r="G2116" t="s">
        <v>318</v>
      </c>
      <c r="H2116" t="s">
        <v>431</v>
      </c>
      <c r="I2116" t="s">
        <v>554</v>
      </c>
      <c r="J2116" t="s">
        <v>556</v>
      </c>
    </row>
    <row r="2117" spans="1:10" hidden="1" x14ac:dyDescent="0.25">
      <c r="A2117" t="s">
        <v>23</v>
      </c>
      <c r="B2117" t="s">
        <v>6</v>
      </c>
      <c r="C2117" t="s">
        <v>7</v>
      </c>
      <c r="D2117" t="s">
        <v>13</v>
      </c>
      <c r="E2117" s="2">
        <v>43336.270555555559</v>
      </c>
      <c r="F2117" t="s">
        <v>590</v>
      </c>
      <c r="G2117" t="s">
        <v>430</v>
      </c>
      <c r="H2117" t="s">
        <v>460</v>
      </c>
      <c r="I2117" t="s">
        <v>494</v>
      </c>
      <c r="J2117" t="s">
        <v>497</v>
      </c>
    </row>
    <row r="2118" spans="1:10" hidden="1" x14ac:dyDescent="0.25">
      <c r="A2118" t="s">
        <v>387</v>
      </c>
      <c r="B2118" t="s">
        <v>6</v>
      </c>
      <c r="C2118" t="s">
        <v>7</v>
      </c>
      <c r="D2118" t="s">
        <v>27</v>
      </c>
      <c r="E2118" s="2">
        <v>43336.270636574074</v>
      </c>
      <c r="F2118" t="s">
        <v>587</v>
      </c>
      <c r="G2118" t="s">
        <v>459</v>
      </c>
      <c r="H2118" t="s">
        <v>318</v>
      </c>
      <c r="I2118" t="s">
        <v>490</v>
      </c>
      <c r="J2118" t="s">
        <v>491</v>
      </c>
    </row>
    <row r="2119" spans="1:10" hidden="1" x14ac:dyDescent="0.25">
      <c r="A2119" t="s">
        <v>92</v>
      </c>
      <c r="B2119" t="s">
        <v>6</v>
      </c>
      <c r="C2119" t="s">
        <v>7</v>
      </c>
      <c r="D2119" t="s">
        <v>10</v>
      </c>
      <c r="E2119" s="2">
        <v>43336.270752314813</v>
      </c>
      <c r="F2119" t="s">
        <v>299</v>
      </c>
      <c r="G2119" t="s">
        <v>323</v>
      </c>
      <c r="H2119" t="s">
        <v>437</v>
      </c>
      <c r="I2119" t="s">
        <v>492</v>
      </c>
      <c r="J2119" t="s">
        <v>546</v>
      </c>
    </row>
    <row r="2120" spans="1:10" hidden="1" x14ac:dyDescent="0.25">
      <c r="A2120" t="s">
        <v>295</v>
      </c>
      <c r="B2120" t="s">
        <v>6</v>
      </c>
      <c r="C2120" t="s">
        <v>7</v>
      </c>
      <c r="D2120" t="s">
        <v>10</v>
      </c>
      <c r="E2120" s="2">
        <v>43336.270844907405</v>
      </c>
      <c r="F2120" t="s">
        <v>585</v>
      </c>
      <c r="G2120" t="s">
        <v>318</v>
      </c>
      <c r="H2120" t="s">
        <v>435</v>
      </c>
      <c r="I2120" t="s">
        <v>494</v>
      </c>
      <c r="J2120" t="s">
        <v>501</v>
      </c>
    </row>
    <row r="2121" spans="1:10" hidden="1" x14ac:dyDescent="0.25">
      <c r="A2121" t="s">
        <v>55</v>
      </c>
      <c r="B2121" t="s">
        <v>6</v>
      </c>
      <c r="C2121" t="s">
        <v>7</v>
      </c>
      <c r="D2121" t="s">
        <v>10</v>
      </c>
      <c r="E2121" s="2">
        <v>43336.270937499998</v>
      </c>
      <c r="F2121" t="s">
        <v>300</v>
      </c>
      <c r="G2121" t="s">
        <v>453</v>
      </c>
      <c r="H2121" t="s">
        <v>318</v>
      </c>
      <c r="I2121" t="s">
        <v>558</v>
      </c>
      <c r="J2121" t="s">
        <v>562</v>
      </c>
    </row>
    <row r="2122" spans="1:10" hidden="1" x14ac:dyDescent="0.25">
      <c r="A2122" t="s">
        <v>314</v>
      </c>
      <c r="B2122" t="s">
        <v>6</v>
      </c>
      <c r="C2122" t="s">
        <v>7</v>
      </c>
      <c r="D2122" t="s">
        <v>27</v>
      </c>
      <c r="E2122" s="2">
        <v>43336.271087962959</v>
      </c>
      <c r="F2122" t="s">
        <v>586</v>
      </c>
      <c r="G2122" t="s">
        <v>318</v>
      </c>
      <c r="H2122" t="s">
        <v>432</v>
      </c>
      <c r="I2122" t="s">
        <v>490</v>
      </c>
      <c r="J2122" t="s">
        <v>491</v>
      </c>
    </row>
    <row r="2123" spans="1:10" hidden="1" x14ac:dyDescent="0.25">
      <c r="A2123" t="s">
        <v>173</v>
      </c>
      <c r="B2123" t="s">
        <v>6</v>
      </c>
      <c r="C2123" t="s">
        <v>7</v>
      </c>
      <c r="D2123" t="s">
        <v>27</v>
      </c>
      <c r="E2123" s="2">
        <v>43336.271122685182</v>
      </c>
      <c r="F2123" t="s">
        <v>303</v>
      </c>
      <c r="G2123" t="s">
        <v>430</v>
      </c>
      <c r="H2123" t="s">
        <v>451</v>
      </c>
      <c r="I2123" t="s">
        <v>494</v>
      </c>
      <c r="J2123" t="s">
        <v>501</v>
      </c>
    </row>
    <row r="2124" spans="1:10" hidden="1" x14ac:dyDescent="0.25">
      <c r="A2124" t="s">
        <v>22</v>
      </c>
      <c r="B2124" t="s">
        <v>6</v>
      </c>
      <c r="C2124" t="s">
        <v>7</v>
      </c>
      <c r="D2124" t="s">
        <v>476</v>
      </c>
      <c r="E2124" s="2">
        <v>43336.271192129629</v>
      </c>
      <c r="F2124" t="s">
        <v>590</v>
      </c>
      <c r="G2124" t="s">
        <v>430</v>
      </c>
      <c r="H2124" t="s">
        <v>461</v>
      </c>
      <c r="I2124" t="s">
        <v>494</v>
      </c>
      <c r="J2124" t="s">
        <v>497</v>
      </c>
    </row>
    <row r="2125" spans="1:10" hidden="1" x14ac:dyDescent="0.25">
      <c r="A2125" t="s">
        <v>418</v>
      </c>
      <c r="B2125" t="s">
        <v>6</v>
      </c>
      <c r="C2125" t="s">
        <v>7</v>
      </c>
      <c r="D2125" t="s">
        <v>13</v>
      </c>
      <c r="E2125" s="2">
        <v>43336.271238425928</v>
      </c>
      <c r="F2125" t="s">
        <v>591</v>
      </c>
      <c r="G2125" t="s">
        <v>318</v>
      </c>
      <c r="H2125" t="s">
        <v>432</v>
      </c>
      <c r="I2125" t="s">
        <v>554</v>
      </c>
      <c r="J2125" t="s">
        <v>556</v>
      </c>
    </row>
    <row r="2126" spans="1:10" hidden="1" x14ac:dyDescent="0.25">
      <c r="A2126" t="s">
        <v>369</v>
      </c>
      <c r="B2126" t="s">
        <v>6</v>
      </c>
      <c r="C2126" t="s">
        <v>7</v>
      </c>
      <c r="D2126" t="s">
        <v>10</v>
      </c>
      <c r="E2126" s="2">
        <v>43336.271249999998</v>
      </c>
      <c r="F2126" t="s">
        <v>587</v>
      </c>
      <c r="G2126" t="s">
        <v>459</v>
      </c>
      <c r="H2126" t="s">
        <v>323</v>
      </c>
      <c r="I2126" t="s">
        <v>490</v>
      </c>
      <c r="J2126" t="s">
        <v>491</v>
      </c>
    </row>
    <row r="2127" spans="1:10" hidden="1" x14ac:dyDescent="0.25">
      <c r="A2127" t="s">
        <v>69</v>
      </c>
      <c r="B2127" t="s">
        <v>6</v>
      </c>
      <c r="C2127" t="s">
        <v>7</v>
      </c>
      <c r="D2127" t="s">
        <v>10</v>
      </c>
      <c r="E2127" s="2">
        <v>43336.271423611113</v>
      </c>
      <c r="F2127" t="s">
        <v>299</v>
      </c>
      <c r="G2127" t="s">
        <v>323</v>
      </c>
      <c r="H2127" t="s">
        <v>438</v>
      </c>
      <c r="I2127" t="s">
        <v>492</v>
      </c>
      <c r="J2127" t="s">
        <v>546</v>
      </c>
    </row>
    <row r="2128" spans="1:10" hidden="1" x14ac:dyDescent="0.25">
      <c r="A2128" t="s">
        <v>178</v>
      </c>
      <c r="B2128" t="s">
        <v>6</v>
      </c>
      <c r="C2128" t="s">
        <v>7</v>
      </c>
      <c r="D2128" t="s">
        <v>10</v>
      </c>
      <c r="E2128" s="2">
        <v>43336.271539351852</v>
      </c>
      <c r="F2128" t="s">
        <v>585</v>
      </c>
      <c r="G2128" t="s">
        <v>318</v>
      </c>
      <c r="H2128" t="s">
        <v>436</v>
      </c>
      <c r="I2128" t="s">
        <v>494</v>
      </c>
      <c r="J2128" t="s">
        <v>501</v>
      </c>
    </row>
    <row r="2129" spans="1:10" hidden="1" x14ac:dyDescent="0.25">
      <c r="A2129" t="s">
        <v>107</v>
      </c>
      <c r="B2129" t="s">
        <v>6</v>
      </c>
      <c r="C2129" t="s">
        <v>7</v>
      </c>
      <c r="D2129" t="s">
        <v>10</v>
      </c>
      <c r="E2129" s="2">
        <v>43336.271562499998</v>
      </c>
      <c r="F2129" t="s">
        <v>300</v>
      </c>
      <c r="G2129" t="s">
        <v>453</v>
      </c>
      <c r="H2129" t="s">
        <v>323</v>
      </c>
      <c r="I2129" t="s">
        <v>494</v>
      </c>
      <c r="J2129" t="s">
        <v>13</v>
      </c>
    </row>
    <row r="2130" spans="1:10" hidden="1" x14ac:dyDescent="0.25">
      <c r="A2130" t="s">
        <v>172</v>
      </c>
      <c r="B2130" t="s">
        <v>6</v>
      </c>
      <c r="C2130" t="s">
        <v>7</v>
      </c>
      <c r="D2130" t="s">
        <v>10</v>
      </c>
      <c r="E2130" s="2">
        <v>43336.271770833337</v>
      </c>
      <c r="F2130" t="s">
        <v>303</v>
      </c>
      <c r="G2130" t="s">
        <v>430</v>
      </c>
      <c r="H2130" t="s">
        <v>452</v>
      </c>
      <c r="I2130" t="s">
        <v>494</v>
      </c>
      <c r="J2130" t="s">
        <v>501</v>
      </c>
    </row>
    <row r="2131" spans="1:10" hidden="1" x14ac:dyDescent="0.25">
      <c r="A2131" t="s">
        <v>315</v>
      </c>
      <c r="B2131" t="s">
        <v>6</v>
      </c>
      <c r="C2131" t="s">
        <v>7</v>
      </c>
      <c r="D2131" t="s">
        <v>27</v>
      </c>
      <c r="E2131" s="2">
        <v>43336.271828703706</v>
      </c>
      <c r="F2131" t="s">
        <v>586</v>
      </c>
      <c r="G2131" t="s">
        <v>318</v>
      </c>
      <c r="H2131" t="s">
        <v>433</v>
      </c>
      <c r="I2131" t="s">
        <v>490</v>
      </c>
      <c r="J2131" t="s">
        <v>491</v>
      </c>
    </row>
    <row r="2132" spans="1:10" hidden="1" x14ac:dyDescent="0.25">
      <c r="A2132" t="s">
        <v>402</v>
      </c>
      <c r="B2132" t="s">
        <v>6</v>
      </c>
      <c r="C2132" t="s">
        <v>7</v>
      </c>
      <c r="D2132" t="s">
        <v>27</v>
      </c>
      <c r="E2132" s="2">
        <v>43336.271990740737</v>
      </c>
      <c r="F2132" t="s">
        <v>591</v>
      </c>
      <c r="G2132" t="s">
        <v>318</v>
      </c>
      <c r="H2132" t="s">
        <v>433</v>
      </c>
      <c r="I2132" t="s">
        <v>554</v>
      </c>
      <c r="J2132" t="s">
        <v>556</v>
      </c>
    </row>
    <row r="2133" spans="1:10" hidden="1" x14ac:dyDescent="0.25">
      <c r="A2133" t="s">
        <v>319</v>
      </c>
      <c r="B2133" t="s">
        <v>6</v>
      </c>
      <c r="C2133" t="s">
        <v>7</v>
      </c>
      <c r="D2133" t="s">
        <v>27</v>
      </c>
      <c r="E2133" s="2">
        <v>43336.272002314814</v>
      </c>
      <c r="F2133" t="s">
        <v>587</v>
      </c>
      <c r="G2133" t="s">
        <v>459</v>
      </c>
      <c r="H2133" t="s">
        <v>385</v>
      </c>
      <c r="I2133" t="s">
        <v>490</v>
      </c>
      <c r="J2133" t="s">
        <v>491</v>
      </c>
    </row>
    <row r="2134" spans="1:10" hidden="1" x14ac:dyDescent="0.25">
      <c r="A2134" t="s">
        <v>21</v>
      </c>
      <c r="B2134" t="s">
        <v>6</v>
      </c>
      <c r="C2134" t="s">
        <v>7</v>
      </c>
      <c r="D2134" t="s">
        <v>13</v>
      </c>
      <c r="E2134" s="2">
        <v>43336.272037037037</v>
      </c>
      <c r="F2134" t="s">
        <v>590</v>
      </c>
      <c r="G2134" t="s">
        <v>430</v>
      </c>
      <c r="H2134" t="s">
        <v>462</v>
      </c>
      <c r="I2134" t="s">
        <v>494</v>
      </c>
      <c r="J2134" t="s">
        <v>497</v>
      </c>
    </row>
    <row r="2135" spans="1:10" hidden="1" x14ac:dyDescent="0.25">
      <c r="A2135" t="s">
        <v>152</v>
      </c>
      <c r="B2135" t="s">
        <v>6</v>
      </c>
      <c r="C2135" t="s">
        <v>7</v>
      </c>
      <c r="D2135" t="s">
        <v>10</v>
      </c>
      <c r="E2135" s="2">
        <v>43336.272129629629</v>
      </c>
      <c r="F2135" t="s">
        <v>299</v>
      </c>
      <c r="G2135" t="s">
        <v>323</v>
      </c>
      <c r="H2135" t="s">
        <v>439</v>
      </c>
      <c r="I2135" t="s">
        <v>492</v>
      </c>
      <c r="J2135" t="s">
        <v>546</v>
      </c>
    </row>
    <row r="2136" spans="1:10" hidden="1" x14ac:dyDescent="0.25">
      <c r="A2136" t="s">
        <v>93</v>
      </c>
      <c r="B2136" t="s">
        <v>6</v>
      </c>
      <c r="C2136" t="s">
        <v>7</v>
      </c>
      <c r="D2136" t="s">
        <v>10</v>
      </c>
      <c r="E2136" s="2">
        <v>43336.272187499999</v>
      </c>
      <c r="F2136" t="s">
        <v>300</v>
      </c>
      <c r="G2136" t="s">
        <v>453</v>
      </c>
      <c r="H2136" t="s">
        <v>385</v>
      </c>
      <c r="I2136" t="s">
        <v>552</v>
      </c>
      <c r="J2136" t="s">
        <v>565</v>
      </c>
    </row>
    <row r="2137" spans="1:10" hidden="1" x14ac:dyDescent="0.25">
      <c r="A2137" t="s">
        <v>278</v>
      </c>
      <c r="B2137" t="s">
        <v>6</v>
      </c>
      <c r="C2137" t="s">
        <v>7</v>
      </c>
      <c r="D2137" t="s">
        <v>476</v>
      </c>
      <c r="E2137" s="2">
        <v>43336.27238425926</v>
      </c>
      <c r="F2137" t="s">
        <v>303</v>
      </c>
      <c r="G2137" t="s">
        <v>430</v>
      </c>
      <c r="H2137" t="s">
        <v>318</v>
      </c>
      <c r="I2137" t="s">
        <v>498</v>
      </c>
      <c r="J2137" t="s">
        <v>498</v>
      </c>
    </row>
    <row r="2138" spans="1:10" hidden="1" x14ac:dyDescent="0.25">
      <c r="A2138" t="s">
        <v>316</v>
      </c>
      <c r="B2138" t="s">
        <v>6</v>
      </c>
      <c r="C2138" t="s">
        <v>7</v>
      </c>
      <c r="D2138" t="s">
        <v>27</v>
      </c>
      <c r="E2138" s="2">
        <v>43336.272569444445</v>
      </c>
      <c r="F2138" t="s">
        <v>586</v>
      </c>
      <c r="G2138" t="s">
        <v>318</v>
      </c>
      <c r="H2138" t="s">
        <v>434</v>
      </c>
      <c r="I2138" t="s">
        <v>490</v>
      </c>
      <c r="J2138" t="s">
        <v>491</v>
      </c>
    </row>
    <row r="2139" spans="1:10" hidden="1" x14ac:dyDescent="0.25">
      <c r="A2139" t="s">
        <v>320</v>
      </c>
      <c r="B2139" t="s">
        <v>6</v>
      </c>
      <c r="C2139" t="s">
        <v>7</v>
      </c>
      <c r="D2139" t="s">
        <v>10</v>
      </c>
      <c r="E2139" s="2">
        <v>43336.272592592592</v>
      </c>
      <c r="F2139" t="s">
        <v>587</v>
      </c>
      <c r="G2139" t="s">
        <v>459</v>
      </c>
      <c r="H2139" t="s">
        <v>457</v>
      </c>
      <c r="I2139" t="s">
        <v>490</v>
      </c>
      <c r="J2139" t="s">
        <v>491</v>
      </c>
    </row>
    <row r="2140" spans="1:10" hidden="1" x14ac:dyDescent="0.25">
      <c r="A2140" t="s">
        <v>403</v>
      </c>
      <c r="B2140" t="s">
        <v>6</v>
      </c>
      <c r="C2140" t="s">
        <v>7</v>
      </c>
      <c r="D2140" t="s">
        <v>13</v>
      </c>
      <c r="E2140" s="2">
        <v>43336.27270833333</v>
      </c>
      <c r="F2140" t="s">
        <v>591</v>
      </c>
      <c r="G2140" t="s">
        <v>318</v>
      </c>
      <c r="H2140" t="s">
        <v>434</v>
      </c>
      <c r="I2140" t="s">
        <v>554</v>
      </c>
      <c r="J2140" t="s">
        <v>556</v>
      </c>
    </row>
    <row r="2141" spans="1:10" hidden="1" x14ac:dyDescent="0.25">
      <c r="A2141" t="s">
        <v>67</v>
      </c>
      <c r="B2141" t="s">
        <v>6</v>
      </c>
      <c r="C2141" t="s">
        <v>7</v>
      </c>
      <c r="D2141" t="s">
        <v>10</v>
      </c>
      <c r="E2141" s="2">
        <v>43336.272800925923</v>
      </c>
      <c r="F2141" t="s">
        <v>299</v>
      </c>
      <c r="G2141" t="s">
        <v>323</v>
      </c>
      <c r="H2141" t="s">
        <v>440</v>
      </c>
      <c r="I2141" t="s">
        <v>492</v>
      </c>
      <c r="J2141" t="s">
        <v>546</v>
      </c>
    </row>
    <row r="2142" spans="1:10" hidden="1" x14ac:dyDescent="0.25">
      <c r="A2142" t="s">
        <v>68</v>
      </c>
      <c r="B2142" t="s">
        <v>6</v>
      </c>
      <c r="C2142" t="s">
        <v>7</v>
      </c>
      <c r="D2142" t="s">
        <v>10</v>
      </c>
      <c r="E2142" s="2">
        <v>43336.272824074076</v>
      </c>
      <c r="F2142" t="s">
        <v>300</v>
      </c>
      <c r="G2142" t="s">
        <v>453</v>
      </c>
      <c r="H2142" t="s">
        <v>457</v>
      </c>
      <c r="I2142" t="s">
        <v>552</v>
      </c>
      <c r="J2142" t="s">
        <v>568</v>
      </c>
    </row>
    <row r="2143" spans="1:10" hidden="1" x14ac:dyDescent="0.25">
      <c r="A2143" t="s">
        <v>147</v>
      </c>
      <c r="B2143" t="s">
        <v>6</v>
      </c>
      <c r="C2143" t="s">
        <v>7</v>
      </c>
      <c r="D2143" t="s">
        <v>10</v>
      </c>
      <c r="E2143" s="2">
        <v>43336.273009259261</v>
      </c>
      <c r="F2143" t="s">
        <v>303</v>
      </c>
      <c r="G2143" t="s">
        <v>430</v>
      </c>
      <c r="H2143" t="s">
        <v>323</v>
      </c>
      <c r="I2143" t="s">
        <v>498</v>
      </c>
      <c r="J2143" t="s">
        <v>498</v>
      </c>
    </row>
    <row r="2144" spans="1:10" hidden="1" x14ac:dyDescent="0.25">
      <c r="A2144" t="s">
        <v>40</v>
      </c>
      <c r="B2144" t="s">
        <v>6</v>
      </c>
      <c r="C2144" t="s">
        <v>7</v>
      </c>
      <c r="D2144" t="s">
        <v>8</v>
      </c>
      <c r="E2144" s="2">
        <v>43336.273020833331</v>
      </c>
      <c r="F2144" t="s">
        <v>585</v>
      </c>
      <c r="G2144" t="s">
        <v>318</v>
      </c>
      <c r="H2144" t="s">
        <v>437</v>
      </c>
      <c r="I2144" t="s">
        <v>494</v>
      </c>
      <c r="J2144" t="s">
        <v>501</v>
      </c>
    </row>
    <row r="2145" spans="1:10" hidden="1" x14ac:dyDescent="0.25">
      <c r="A2145" t="s">
        <v>411</v>
      </c>
      <c r="B2145" t="s">
        <v>6</v>
      </c>
      <c r="C2145" t="s">
        <v>7</v>
      </c>
      <c r="D2145" t="s">
        <v>27</v>
      </c>
      <c r="E2145" s="2">
        <v>43336.273310185185</v>
      </c>
      <c r="F2145" t="s">
        <v>586</v>
      </c>
      <c r="G2145" t="s">
        <v>318</v>
      </c>
      <c r="H2145" t="s">
        <v>435</v>
      </c>
      <c r="I2145" t="s">
        <v>490</v>
      </c>
      <c r="J2145" t="s">
        <v>491</v>
      </c>
    </row>
    <row r="2146" spans="1:10" hidden="1" x14ac:dyDescent="0.25">
      <c r="A2146" t="s">
        <v>359</v>
      </c>
      <c r="B2146" t="s">
        <v>6</v>
      </c>
      <c r="C2146" t="s">
        <v>7</v>
      </c>
      <c r="D2146" t="s">
        <v>27</v>
      </c>
      <c r="E2146" s="2">
        <v>43336.273333333331</v>
      </c>
      <c r="F2146" t="s">
        <v>587</v>
      </c>
      <c r="G2146" t="s">
        <v>459</v>
      </c>
      <c r="H2146" t="s">
        <v>458</v>
      </c>
      <c r="I2146" t="s">
        <v>490</v>
      </c>
      <c r="J2146" t="s">
        <v>491</v>
      </c>
    </row>
    <row r="2147" spans="1:10" hidden="1" x14ac:dyDescent="0.25">
      <c r="A2147" t="s">
        <v>416</v>
      </c>
      <c r="B2147" t="s">
        <v>6</v>
      </c>
      <c r="C2147" t="s">
        <v>7</v>
      </c>
      <c r="D2147" t="s">
        <v>13</v>
      </c>
      <c r="E2147" s="2">
        <v>43336.273449074077</v>
      </c>
      <c r="F2147" t="s">
        <v>591</v>
      </c>
      <c r="G2147" t="s">
        <v>318</v>
      </c>
      <c r="H2147" t="s">
        <v>435</v>
      </c>
      <c r="I2147" t="s">
        <v>554</v>
      </c>
      <c r="J2147" t="s">
        <v>556</v>
      </c>
    </row>
    <row r="2148" spans="1:10" hidden="1" x14ac:dyDescent="0.25">
      <c r="A2148" t="s">
        <v>65</v>
      </c>
      <c r="B2148" t="s">
        <v>6</v>
      </c>
      <c r="C2148" t="s">
        <v>7</v>
      </c>
      <c r="D2148" t="s">
        <v>10</v>
      </c>
      <c r="E2148" s="2">
        <v>43336.273460648146</v>
      </c>
      <c r="F2148" t="s">
        <v>299</v>
      </c>
      <c r="G2148" t="s">
        <v>323</v>
      </c>
      <c r="H2148" t="s">
        <v>441</v>
      </c>
      <c r="I2148" t="s">
        <v>492</v>
      </c>
      <c r="J2148" t="s">
        <v>546</v>
      </c>
    </row>
    <row r="2149" spans="1:10" hidden="1" x14ac:dyDescent="0.25">
      <c r="A2149" t="s">
        <v>20</v>
      </c>
      <c r="B2149" t="s">
        <v>6</v>
      </c>
      <c r="C2149" t="s">
        <v>7</v>
      </c>
      <c r="D2149" t="s">
        <v>8</v>
      </c>
      <c r="E2149" s="2">
        <v>43336.273472222223</v>
      </c>
      <c r="F2149" t="s">
        <v>590</v>
      </c>
      <c r="G2149" t="s">
        <v>430</v>
      </c>
      <c r="H2149" t="s">
        <v>453</v>
      </c>
      <c r="I2149" t="s">
        <v>494</v>
      </c>
      <c r="J2149" t="s">
        <v>13</v>
      </c>
    </row>
    <row r="2150" spans="1:10" hidden="1" x14ac:dyDescent="0.25">
      <c r="A2150" t="s">
        <v>95</v>
      </c>
      <c r="B2150" t="s">
        <v>6</v>
      </c>
      <c r="C2150" t="s">
        <v>7</v>
      </c>
      <c r="D2150" t="s">
        <v>10</v>
      </c>
      <c r="E2150" s="2">
        <v>43336.273472222223</v>
      </c>
      <c r="F2150" t="s">
        <v>300</v>
      </c>
      <c r="G2150" t="s">
        <v>453</v>
      </c>
      <c r="H2150" t="s">
        <v>458</v>
      </c>
      <c r="I2150" t="s">
        <v>552</v>
      </c>
      <c r="J2150" t="s">
        <v>568</v>
      </c>
    </row>
    <row r="2151" spans="1:10" hidden="1" x14ac:dyDescent="0.25">
      <c r="A2151" t="s">
        <v>279</v>
      </c>
      <c r="B2151" t="s">
        <v>6</v>
      </c>
      <c r="C2151" t="s">
        <v>7</v>
      </c>
      <c r="D2151" t="s">
        <v>10</v>
      </c>
      <c r="E2151" s="2">
        <v>43336.273657407408</v>
      </c>
      <c r="F2151" t="s">
        <v>303</v>
      </c>
      <c r="G2151" t="s">
        <v>430</v>
      </c>
      <c r="H2151" t="s">
        <v>385</v>
      </c>
      <c r="I2151" t="s">
        <v>498</v>
      </c>
      <c r="J2151" t="s">
        <v>498</v>
      </c>
    </row>
    <row r="2152" spans="1:10" hidden="1" x14ac:dyDescent="0.25">
      <c r="A2152" t="s">
        <v>149</v>
      </c>
      <c r="B2152" t="s">
        <v>6</v>
      </c>
      <c r="C2152" t="s">
        <v>7</v>
      </c>
      <c r="D2152" t="s">
        <v>10</v>
      </c>
      <c r="E2152" s="2">
        <v>43336.273668981485</v>
      </c>
      <c r="F2152" t="s">
        <v>585</v>
      </c>
      <c r="G2152" t="s">
        <v>318</v>
      </c>
      <c r="H2152" t="s">
        <v>438</v>
      </c>
      <c r="I2152" t="s">
        <v>494</v>
      </c>
      <c r="J2152" t="s">
        <v>501</v>
      </c>
    </row>
    <row r="2153" spans="1:10" hidden="1" x14ac:dyDescent="0.25">
      <c r="A2153" t="s">
        <v>360</v>
      </c>
      <c r="B2153" t="s">
        <v>6</v>
      </c>
      <c r="C2153" t="s">
        <v>7</v>
      </c>
      <c r="D2153" t="s">
        <v>10</v>
      </c>
      <c r="E2153" s="2">
        <v>43336.273958333331</v>
      </c>
      <c r="F2153" t="s">
        <v>587</v>
      </c>
      <c r="G2153" t="s">
        <v>459</v>
      </c>
      <c r="H2153" t="s">
        <v>459</v>
      </c>
      <c r="I2153" t="s">
        <v>490</v>
      </c>
      <c r="J2153" t="s">
        <v>491</v>
      </c>
    </row>
    <row r="2154" spans="1:10" hidden="1" x14ac:dyDescent="0.25">
      <c r="A2154" t="s">
        <v>412</v>
      </c>
      <c r="B2154" t="s">
        <v>6</v>
      </c>
      <c r="C2154" t="s">
        <v>7</v>
      </c>
      <c r="D2154" t="s">
        <v>27</v>
      </c>
      <c r="E2154" s="2">
        <v>43336.274039351854</v>
      </c>
      <c r="F2154" t="s">
        <v>586</v>
      </c>
      <c r="G2154" t="s">
        <v>318</v>
      </c>
      <c r="H2154" t="s">
        <v>436</v>
      </c>
      <c r="I2154" t="s">
        <v>490</v>
      </c>
      <c r="J2154" t="s">
        <v>491</v>
      </c>
    </row>
    <row r="2155" spans="1:10" hidden="1" x14ac:dyDescent="0.25">
      <c r="A2155" t="s">
        <v>64</v>
      </c>
      <c r="B2155" t="s">
        <v>6</v>
      </c>
      <c r="C2155" t="s">
        <v>7</v>
      </c>
      <c r="D2155" t="s">
        <v>10</v>
      </c>
      <c r="E2155" s="2">
        <v>43336.274097222224</v>
      </c>
      <c r="F2155" t="s">
        <v>299</v>
      </c>
      <c r="G2155" t="s">
        <v>323</v>
      </c>
      <c r="H2155" t="s">
        <v>442</v>
      </c>
      <c r="I2155" t="s">
        <v>492</v>
      </c>
      <c r="J2155" t="s">
        <v>557</v>
      </c>
    </row>
    <row r="2156" spans="1:10" hidden="1" x14ac:dyDescent="0.25">
      <c r="A2156" t="s">
        <v>58</v>
      </c>
      <c r="B2156" t="s">
        <v>6</v>
      </c>
      <c r="C2156" t="s">
        <v>7</v>
      </c>
      <c r="D2156" t="s">
        <v>10</v>
      </c>
      <c r="E2156" s="2">
        <v>43336.274108796293</v>
      </c>
      <c r="F2156" t="s">
        <v>300</v>
      </c>
      <c r="G2156" t="s">
        <v>453</v>
      </c>
      <c r="H2156" t="s">
        <v>459</v>
      </c>
      <c r="I2156" t="s">
        <v>552</v>
      </c>
      <c r="J2156" t="s">
        <v>568</v>
      </c>
    </row>
    <row r="2157" spans="1:10" hidden="1" x14ac:dyDescent="0.25">
      <c r="A2157" t="s">
        <v>132</v>
      </c>
      <c r="B2157" t="s">
        <v>6</v>
      </c>
      <c r="C2157" t="s">
        <v>7</v>
      </c>
      <c r="D2157" t="s">
        <v>10</v>
      </c>
      <c r="E2157" s="2">
        <v>43336.274282407408</v>
      </c>
      <c r="F2157" t="s">
        <v>303</v>
      </c>
      <c r="G2157" t="s">
        <v>430</v>
      </c>
      <c r="H2157" t="s">
        <v>457</v>
      </c>
      <c r="I2157" t="s">
        <v>498</v>
      </c>
      <c r="J2157" t="s">
        <v>498</v>
      </c>
    </row>
    <row r="2158" spans="1:10" hidden="1" x14ac:dyDescent="0.25">
      <c r="A2158" t="s">
        <v>361</v>
      </c>
      <c r="B2158" t="s">
        <v>6</v>
      </c>
      <c r="C2158" t="s">
        <v>7</v>
      </c>
      <c r="D2158" t="s">
        <v>10</v>
      </c>
      <c r="E2158" s="2">
        <v>43336.274583333332</v>
      </c>
      <c r="F2158" t="s">
        <v>587</v>
      </c>
      <c r="G2158" t="s">
        <v>459</v>
      </c>
      <c r="H2158" t="s">
        <v>460</v>
      </c>
      <c r="I2158" t="s">
        <v>490</v>
      </c>
      <c r="J2158" t="s">
        <v>491</v>
      </c>
    </row>
    <row r="2159" spans="1:10" hidden="1" x14ac:dyDescent="0.25">
      <c r="A2159" t="s">
        <v>413</v>
      </c>
      <c r="B2159" t="s">
        <v>6</v>
      </c>
      <c r="C2159" t="s">
        <v>7</v>
      </c>
      <c r="D2159" t="s">
        <v>10</v>
      </c>
      <c r="E2159" s="2">
        <v>43336.274687500001</v>
      </c>
      <c r="F2159" t="s">
        <v>586</v>
      </c>
      <c r="G2159" t="s">
        <v>318</v>
      </c>
      <c r="H2159" t="s">
        <v>437</v>
      </c>
      <c r="I2159" t="s">
        <v>490</v>
      </c>
      <c r="J2159" t="s">
        <v>491</v>
      </c>
    </row>
    <row r="2160" spans="1:10" hidden="1" x14ac:dyDescent="0.25">
      <c r="A2160" t="s">
        <v>203</v>
      </c>
      <c r="B2160" t="s">
        <v>6</v>
      </c>
      <c r="C2160" t="s">
        <v>7</v>
      </c>
      <c r="D2160" t="s">
        <v>10</v>
      </c>
      <c r="E2160" s="2">
        <v>43336.274756944447</v>
      </c>
      <c r="F2160" t="s">
        <v>299</v>
      </c>
      <c r="G2160" t="s">
        <v>323</v>
      </c>
      <c r="H2160" t="s">
        <v>443</v>
      </c>
      <c r="I2160" t="s">
        <v>560</v>
      </c>
      <c r="J2160" t="s">
        <v>561</v>
      </c>
    </row>
    <row r="2161" spans="1:10" hidden="1" x14ac:dyDescent="0.25">
      <c r="A2161" t="s">
        <v>328</v>
      </c>
      <c r="B2161" t="s">
        <v>6</v>
      </c>
      <c r="C2161" t="s">
        <v>7</v>
      </c>
      <c r="D2161" t="s">
        <v>484</v>
      </c>
      <c r="E2161" s="2">
        <v>43336.274872685186</v>
      </c>
      <c r="F2161" t="s">
        <v>591</v>
      </c>
      <c r="G2161" t="s">
        <v>318</v>
      </c>
      <c r="H2161" t="s">
        <v>436</v>
      </c>
      <c r="I2161" t="s">
        <v>554</v>
      </c>
      <c r="J2161" t="s">
        <v>497</v>
      </c>
    </row>
    <row r="2162" spans="1:10" hidden="1" x14ac:dyDescent="0.25">
      <c r="A2162" t="s">
        <v>131</v>
      </c>
      <c r="B2162" t="s">
        <v>6</v>
      </c>
      <c r="C2162" t="s">
        <v>7</v>
      </c>
      <c r="D2162" t="s">
        <v>10</v>
      </c>
      <c r="E2162" s="2">
        <v>43336.274918981479</v>
      </c>
      <c r="F2162" t="s">
        <v>303</v>
      </c>
      <c r="G2162" t="s">
        <v>430</v>
      </c>
      <c r="H2162" t="s">
        <v>458</v>
      </c>
      <c r="I2162" t="s">
        <v>498</v>
      </c>
      <c r="J2162" t="s">
        <v>498</v>
      </c>
    </row>
    <row r="2163" spans="1:10" hidden="1" x14ac:dyDescent="0.25">
      <c r="A2163" t="s">
        <v>19</v>
      </c>
      <c r="B2163" t="s">
        <v>6</v>
      </c>
      <c r="C2163" t="s">
        <v>7</v>
      </c>
      <c r="D2163" t="s">
        <v>8</v>
      </c>
      <c r="E2163" s="2">
        <v>43336.274988425925</v>
      </c>
      <c r="F2163" t="s">
        <v>590</v>
      </c>
      <c r="G2163" t="s">
        <v>430</v>
      </c>
      <c r="H2163" t="s">
        <v>454</v>
      </c>
      <c r="I2163" t="s">
        <v>494</v>
      </c>
      <c r="J2163" t="s">
        <v>509</v>
      </c>
    </row>
    <row r="2164" spans="1:10" hidden="1" x14ac:dyDescent="0.25">
      <c r="A2164" t="s">
        <v>176</v>
      </c>
      <c r="B2164" t="s">
        <v>6</v>
      </c>
      <c r="C2164" t="s">
        <v>7</v>
      </c>
      <c r="D2164" t="s">
        <v>8</v>
      </c>
      <c r="E2164" s="2">
        <v>43336.275138888886</v>
      </c>
      <c r="F2164" t="s">
        <v>585</v>
      </c>
      <c r="G2164" t="s">
        <v>318</v>
      </c>
      <c r="H2164" t="s">
        <v>439</v>
      </c>
      <c r="I2164" t="s">
        <v>494</v>
      </c>
      <c r="J2164" t="s">
        <v>495</v>
      </c>
    </row>
    <row r="2165" spans="1:10" hidden="1" x14ac:dyDescent="0.25">
      <c r="A2165" t="s">
        <v>362</v>
      </c>
      <c r="B2165" t="s">
        <v>6</v>
      </c>
      <c r="C2165" t="s">
        <v>7</v>
      </c>
      <c r="D2165" t="s">
        <v>10</v>
      </c>
      <c r="E2165" s="2">
        <v>43336.275208333333</v>
      </c>
      <c r="F2165" t="s">
        <v>587</v>
      </c>
      <c r="G2165" t="s">
        <v>459</v>
      </c>
      <c r="H2165" t="s">
        <v>461</v>
      </c>
      <c r="I2165" t="s">
        <v>490</v>
      </c>
      <c r="J2165" t="s">
        <v>491</v>
      </c>
    </row>
    <row r="2166" spans="1:10" hidden="1" x14ac:dyDescent="0.25">
      <c r="A2166" t="s">
        <v>409</v>
      </c>
      <c r="B2166" t="s">
        <v>6</v>
      </c>
      <c r="C2166" t="s">
        <v>7</v>
      </c>
      <c r="D2166" t="s">
        <v>10</v>
      </c>
      <c r="E2166" s="2">
        <v>43336.275300925925</v>
      </c>
      <c r="F2166" t="s">
        <v>586</v>
      </c>
      <c r="G2166" t="s">
        <v>318</v>
      </c>
      <c r="H2166" t="s">
        <v>438</v>
      </c>
      <c r="I2166" t="s">
        <v>490</v>
      </c>
      <c r="J2166" t="s">
        <v>491</v>
      </c>
    </row>
    <row r="2167" spans="1:10" hidden="1" x14ac:dyDescent="0.25">
      <c r="A2167" t="s">
        <v>121</v>
      </c>
      <c r="B2167" t="s">
        <v>6</v>
      </c>
      <c r="C2167" t="s">
        <v>7</v>
      </c>
      <c r="D2167" t="s">
        <v>10</v>
      </c>
      <c r="E2167" s="2">
        <v>43336.275405092594</v>
      </c>
      <c r="F2167" t="s">
        <v>299</v>
      </c>
      <c r="G2167" t="s">
        <v>323</v>
      </c>
      <c r="H2167" t="s">
        <v>444</v>
      </c>
      <c r="I2167" t="s">
        <v>558</v>
      </c>
      <c r="J2167" t="s">
        <v>559</v>
      </c>
    </row>
    <row r="2168" spans="1:10" hidden="1" x14ac:dyDescent="0.25">
      <c r="A2168" t="s">
        <v>54</v>
      </c>
      <c r="B2168" t="s">
        <v>6</v>
      </c>
      <c r="C2168" t="s">
        <v>7</v>
      </c>
      <c r="D2168" t="s">
        <v>8</v>
      </c>
      <c r="E2168" s="2">
        <v>43336.275648148148</v>
      </c>
      <c r="F2168" t="s">
        <v>300</v>
      </c>
      <c r="G2168" t="s">
        <v>453</v>
      </c>
      <c r="H2168" t="s">
        <v>460</v>
      </c>
      <c r="I2168" t="s">
        <v>552</v>
      </c>
      <c r="J2168" t="s">
        <v>568</v>
      </c>
    </row>
    <row r="2169" spans="1:10" hidden="1" x14ac:dyDescent="0.25">
      <c r="A2169" t="s">
        <v>130</v>
      </c>
      <c r="B2169" t="s">
        <v>6</v>
      </c>
      <c r="C2169" t="s">
        <v>7</v>
      </c>
      <c r="D2169" t="s">
        <v>13</v>
      </c>
      <c r="E2169" s="2">
        <v>43336.275694444441</v>
      </c>
      <c r="F2169" t="s">
        <v>303</v>
      </c>
      <c r="G2169" t="s">
        <v>430</v>
      </c>
      <c r="H2169" t="s">
        <v>459</v>
      </c>
      <c r="I2169" t="s">
        <v>494</v>
      </c>
      <c r="J2169" t="s">
        <v>544</v>
      </c>
    </row>
    <row r="2170" spans="1:10" hidden="1" x14ac:dyDescent="0.25">
      <c r="A2170" t="s">
        <v>39</v>
      </c>
      <c r="B2170" t="s">
        <v>6</v>
      </c>
      <c r="C2170" t="s">
        <v>7</v>
      </c>
      <c r="D2170" t="s">
        <v>10</v>
      </c>
      <c r="E2170" s="2">
        <v>43336.27579861111</v>
      </c>
      <c r="F2170" t="s">
        <v>585</v>
      </c>
      <c r="G2170" t="s">
        <v>318</v>
      </c>
      <c r="H2170" t="s">
        <v>440</v>
      </c>
      <c r="I2170" t="s">
        <v>494</v>
      </c>
      <c r="J2170" t="s">
        <v>495</v>
      </c>
    </row>
    <row r="2171" spans="1:10" hidden="1" x14ac:dyDescent="0.25">
      <c r="A2171" t="s">
        <v>363</v>
      </c>
      <c r="B2171" t="s">
        <v>6</v>
      </c>
      <c r="C2171" t="s">
        <v>7</v>
      </c>
      <c r="D2171" t="s">
        <v>10</v>
      </c>
      <c r="E2171" s="2">
        <v>43336.275925925926</v>
      </c>
      <c r="F2171" t="s">
        <v>586</v>
      </c>
      <c r="G2171" t="s">
        <v>318</v>
      </c>
      <c r="H2171" t="s">
        <v>439</v>
      </c>
      <c r="I2171" t="s">
        <v>490</v>
      </c>
      <c r="J2171" t="s">
        <v>491</v>
      </c>
    </row>
    <row r="2172" spans="1:10" hidden="1" x14ac:dyDescent="0.25">
      <c r="A2172" t="s">
        <v>66</v>
      </c>
      <c r="B2172" t="s">
        <v>6</v>
      </c>
      <c r="C2172" t="s">
        <v>7</v>
      </c>
      <c r="D2172" t="s">
        <v>10</v>
      </c>
      <c r="E2172" s="2">
        <v>43336.276041666664</v>
      </c>
      <c r="F2172" t="s">
        <v>299</v>
      </c>
      <c r="G2172" t="s">
        <v>323</v>
      </c>
      <c r="H2172" t="s">
        <v>445</v>
      </c>
      <c r="I2172" t="s">
        <v>558</v>
      </c>
      <c r="J2172" t="s">
        <v>559</v>
      </c>
    </row>
    <row r="2173" spans="1:10" hidden="1" x14ac:dyDescent="0.25">
      <c r="A2173" t="s">
        <v>401</v>
      </c>
      <c r="B2173" t="s">
        <v>6</v>
      </c>
      <c r="C2173" t="s">
        <v>7</v>
      </c>
      <c r="D2173" t="s">
        <v>484</v>
      </c>
      <c r="E2173" s="2">
        <v>43336.276354166665</v>
      </c>
      <c r="F2173" t="s">
        <v>591</v>
      </c>
      <c r="G2173" t="s">
        <v>318</v>
      </c>
      <c r="H2173" t="s">
        <v>437</v>
      </c>
      <c r="I2173" t="s">
        <v>554</v>
      </c>
      <c r="J2173" t="s">
        <v>497</v>
      </c>
    </row>
    <row r="2174" spans="1:10" hidden="1" x14ac:dyDescent="0.25">
      <c r="A2174" t="s">
        <v>18</v>
      </c>
      <c r="B2174" t="s">
        <v>6</v>
      </c>
      <c r="C2174" t="s">
        <v>7</v>
      </c>
      <c r="D2174" t="s">
        <v>8</v>
      </c>
      <c r="E2174" s="2">
        <v>43336.27648148148</v>
      </c>
      <c r="F2174" t="s">
        <v>590</v>
      </c>
      <c r="G2174" t="s">
        <v>430</v>
      </c>
      <c r="H2174" t="s">
        <v>455</v>
      </c>
      <c r="I2174" t="s">
        <v>494</v>
      </c>
      <c r="J2174" t="s">
        <v>492</v>
      </c>
    </row>
    <row r="2175" spans="1:10" hidden="1" x14ac:dyDescent="0.25">
      <c r="A2175" t="s">
        <v>184</v>
      </c>
      <c r="B2175" t="s">
        <v>6</v>
      </c>
      <c r="C2175" t="s">
        <v>7</v>
      </c>
      <c r="D2175" t="s">
        <v>13</v>
      </c>
      <c r="E2175" s="2">
        <v>43336.27652777778</v>
      </c>
      <c r="F2175" t="s">
        <v>303</v>
      </c>
      <c r="G2175" t="s">
        <v>430</v>
      </c>
      <c r="H2175" t="s">
        <v>460</v>
      </c>
      <c r="I2175" t="s">
        <v>494</v>
      </c>
      <c r="J2175" t="s">
        <v>544</v>
      </c>
    </row>
    <row r="2176" spans="1:10" hidden="1" x14ac:dyDescent="0.25">
      <c r="A2176" t="s">
        <v>341</v>
      </c>
      <c r="B2176" t="s">
        <v>6</v>
      </c>
      <c r="C2176" t="s">
        <v>7</v>
      </c>
      <c r="D2176" t="s">
        <v>8</v>
      </c>
      <c r="E2176" s="2">
        <v>43336.276666666665</v>
      </c>
      <c r="F2176" t="s">
        <v>587</v>
      </c>
      <c r="G2176" t="s">
        <v>459</v>
      </c>
      <c r="H2176" t="s">
        <v>462</v>
      </c>
      <c r="I2176" t="s">
        <v>490</v>
      </c>
      <c r="J2176" t="s">
        <v>491</v>
      </c>
    </row>
    <row r="2177" spans="1:10" hidden="1" x14ac:dyDescent="0.25">
      <c r="A2177" t="s">
        <v>60</v>
      </c>
      <c r="B2177" t="s">
        <v>6</v>
      </c>
      <c r="C2177" t="s">
        <v>7</v>
      </c>
      <c r="D2177" t="s">
        <v>10</v>
      </c>
      <c r="E2177" s="2">
        <v>43336.276689814818</v>
      </c>
      <c r="F2177" t="s">
        <v>299</v>
      </c>
      <c r="G2177" t="s">
        <v>323</v>
      </c>
      <c r="H2177" t="s">
        <v>446</v>
      </c>
      <c r="I2177" t="s">
        <v>558</v>
      </c>
      <c r="J2177" t="s">
        <v>559</v>
      </c>
    </row>
    <row r="2178" spans="1:10" hidden="1" x14ac:dyDescent="0.25">
      <c r="A2178" t="s">
        <v>102</v>
      </c>
      <c r="B2178" t="s">
        <v>6</v>
      </c>
      <c r="C2178" t="s">
        <v>7</v>
      </c>
      <c r="D2178" t="s">
        <v>8</v>
      </c>
      <c r="E2178" s="2">
        <v>43336.27715277778</v>
      </c>
      <c r="F2178" t="s">
        <v>300</v>
      </c>
      <c r="G2178" t="s">
        <v>453</v>
      </c>
      <c r="H2178" t="s">
        <v>461</v>
      </c>
      <c r="I2178" t="s">
        <v>533</v>
      </c>
      <c r="J2178" t="s">
        <v>543</v>
      </c>
    </row>
    <row r="2179" spans="1:10" hidden="1" x14ac:dyDescent="0.25">
      <c r="A2179" t="s">
        <v>182</v>
      </c>
      <c r="B2179" t="s">
        <v>6</v>
      </c>
      <c r="C2179" t="s">
        <v>7</v>
      </c>
      <c r="D2179" t="s">
        <v>27</v>
      </c>
      <c r="E2179" s="2">
        <v>43336.277268518519</v>
      </c>
      <c r="F2179" t="s">
        <v>590</v>
      </c>
      <c r="G2179" t="s">
        <v>430</v>
      </c>
      <c r="H2179" t="s">
        <v>456</v>
      </c>
      <c r="I2179" t="s">
        <v>494</v>
      </c>
      <c r="J2179" t="s">
        <v>492</v>
      </c>
    </row>
    <row r="2180" spans="1:10" hidden="1" x14ac:dyDescent="0.25">
      <c r="A2180" t="s">
        <v>144</v>
      </c>
      <c r="B2180" t="s">
        <v>6</v>
      </c>
      <c r="C2180" t="s">
        <v>7</v>
      </c>
      <c r="D2180" t="s">
        <v>8</v>
      </c>
      <c r="E2180" s="2">
        <v>43336.277280092596</v>
      </c>
      <c r="F2180" t="s">
        <v>585</v>
      </c>
      <c r="G2180" t="s">
        <v>318</v>
      </c>
      <c r="H2180" t="s">
        <v>441</v>
      </c>
      <c r="I2180" t="s">
        <v>494</v>
      </c>
      <c r="J2180" t="s">
        <v>495</v>
      </c>
    </row>
    <row r="2181" spans="1:10" hidden="1" x14ac:dyDescent="0.25">
      <c r="A2181" t="s">
        <v>342</v>
      </c>
      <c r="B2181" t="s">
        <v>6</v>
      </c>
      <c r="C2181" t="s">
        <v>7</v>
      </c>
      <c r="D2181" t="s">
        <v>10</v>
      </c>
      <c r="E2181" s="2">
        <v>43336.277326388888</v>
      </c>
      <c r="F2181" t="s">
        <v>587</v>
      </c>
      <c r="G2181" t="s">
        <v>459</v>
      </c>
      <c r="H2181" t="s">
        <v>453</v>
      </c>
      <c r="I2181" t="s">
        <v>490</v>
      </c>
      <c r="J2181" t="s">
        <v>491</v>
      </c>
    </row>
    <row r="2182" spans="1:10" hidden="1" x14ac:dyDescent="0.25">
      <c r="A2182" t="s">
        <v>243</v>
      </c>
      <c r="B2182" t="s">
        <v>6</v>
      </c>
      <c r="C2182" t="s">
        <v>7</v>
      </c>
      <c r="D2182" t="s">
        <v>13</v>
      </c>
      <c r="E2182" s="2">
        <v>43336.277349537035</v>
      </c>
      <c r="F2182" t="s">
        <v>303</v>
      </c>
      <c r="G2182" t="s">
        <v>430</v>
      </c>
      <c r="H2182" t="s">
        <v>461</v>
      </c>
      <c r="I2182" t="s">
        <v>494</v>
      </c>
      <c r="J2182" t="s">
        <v>544</v>
      </c>
    </row>
    <row r="2183" spans="1:10" hidden="1" x14ac:dyDescent="0.25">
      <c r="A2183" t="s">
        <v>59</v>
      </c>
      <c r="B2183" t="s">
        <v>6</v>
      </c>
      <c r="C2183" t="s">
        <v>7</v>
      </c>
      <c r="D2183" t="s">
        <v>10</v>
      </c>
      <c r="E2183" s="2">
        <v>43336.277372685188</v>
      </c>
      <c r="F2183" t="s">
        <v>299</v>
      </c>
      <c r="G2183" t="s">
        <v>323</v>
      </c>
      <c r="H2183" t="s">
        <v>447</v>
      </c>
      <c r="I2183" t="s">
        <v>558</v>
      </c>
      <c r="J2183" t="s">
        <v>559</v>
      </c>
    </row>
    <row r="2184" spans="1:10" hidden="1" x14ac:dyDescent="0.25">
      <c r="A2184" t="s">
        <v>400</v>
      </c>
      <c r="B2184" t="s">
        <v>6</v>
      </c>
      <c r="C2184" t="s">
        <v>7</v>
      </c>
      <c r="D2184" t="s">
        <v>8</v>
      </c>
      <c r="E2184" s="2">
        <v>43336.277384259258</v>
      </c>
      <c r="F2184" t="s">
        <v>586</v>
      </c>
      <c r="G2184" t="s">
        <v>318</v>
      </c>
      <c r="H2184" t="s">
        <v>440</v>
      </c>
      <c r="I2184" t="s">
        <v>490</v>
      </c>
      <c r="J2184" t="s">
        <v>491</v>
      </c>
    </row>
    <row r="2185" spans="1:10" hidden="1" x14ac:dyDescent="0.25">
      <c r="A2185" t="s">
        <v>380</v>
      </c>
      <c r="B2185" t="s">
        <v>6</v>
      </c>
      <c r="C2185" t="s">
        <v>7</v>
      </c>
      <c r="D2185" t="s">
        <v>484</v>
      </c>
      <c r="E2185" s="2">
        <v>43336.277858796297</v>
      </c>
      <c r="F2185" t="s">
        <v>591</v>
      </c>
      <c r="G2185" t="s">
        <v>318</v>
      </c>
      <c r="H2185" t="s">
        <v>438</v>
      </c>
      <c r="I2185" t="s">
        <v>554</v>
      </c>
      <c r="J2185" t="s">
        <v>497</v>
      </c>
    </row>
    <row r="2186" spans="1:10" hidden="1" x14ac:dyDescent="0.25">
      <c r="A2186" t="s">
        <v>17</v>
      </c>
      <c r="B2186" t="s">
        <v>6</v>
      </c>
      <c r="C2186" t="s">
        <v>7</v>
      </c>
      <c r="D2186" t="s">
        <v>10</v>
      </c>
      <c r="E2186" s="2">
        <v>43336.277916666666</v>
      </c>
      <c r="F2186" t="s">
        <v>590</v>
      </c>
      <c r="G2186" t="s">
        <v>430</v>
      </c>
      <c r="H2186" t="s">
        <v>426</v>
      </c>
      <c r="I2186" t="s">
        <v>494</v>
      </c>
      <c r="J2186" t="s">
        <v>492</v>
      </c>
    </row>
    <row r="2187" spans="1:10" hidden="1" x14ac:dyDescent="0.25">
      <c r="A2187" t="s">
        <v>38</v>
      </c>
      <c r="B2187" t="s">
        <v>6</v>
      </c>
      <c r="C2187" t="s">
        <v>7</v>
      </c>
      <c r="D2187" t="s">
        <v>10</v>
      </c>
      <c r="E2187" s="2">
        <v>43336.277939814812</v>
      </c>
      <c r="F2187" t="s">
        <v>585</v>
      </c>
      <c r="G2187" t="s">
        <v>318</v>
      </c>
      <c r="H2187" t="s">
        <v>442</v>
      </c>
      <c r="I2187" t="s">
        <v>494</v>
      </c>
      <c r="J2187" t="s">
        <v>495</v>
      </c>
    </row>
    <row r="2188" spans="1:10" hidden="1" x14ac:dyDescent="0.25">
      <c r="A2188" t="s">
        <v>61</v>
      </c>
      <c r="B2188" t="s">
        <v>6</v>
      </c>
      <c r="C2188" t="s">
        <v>7</v>
      </c>
      <c r="D2188" t="s">
        <v>13</v>
      </c>
      <c r="E2188" s="2">
        <v>43336.277997685182</v>
      </c>
      <c r="F2188" t="s">
        <v>300</v>
      </c>
      <c r="G2188" t="s">
        <v>453</v>
      </c>
      <c r="H2188" t="s">
        <v>462</v>
      </c>
      <c r="I2188" t="s">
        <v>533</v>
      </c>
      <c r="J2188" t="s">
        <v>543</v>
      </c>
    </row>
    <row r="2189" spans="1:10" hidden="1" x14ac:dyDescent="0.25">
      <c r="A2189" t="s">
        <v>57</v>
      </c>
      <c r="B2189" t="s">
        <v>6</v>
      </c>
      <c r="C2189" t="s">
        <v>7</v>
      </c>
      <c r="D2189" t="s">
        <v>10</v>
      </c>
      <c r="E2189" s="2">
        <v>43336.278043981481</v>
      </c>
      <c r="F2189" t="s">
        <v>299</v>
      </c>
      <c r="G2189" t="s">
        <v>323</v>
      </c>
      <c r="H2189" t="s">
        <v>448</v>
      </c>
      <c r="I2189" t="s">
        <v>558</v>
      </c>
      <c r="J2189" t="s">
        <v>559</v>
      </c>
    </row>
    <row r="2190" spans="1:10" hidden="1" x14ac:dyDescent="0.25">
      <c r="A2190" t="s">
        <v>317</v>
      </c>
      <c r="B2190" t="s">
        <v>6</v>
      </c>
      <c r="C2190" t="s">
        <v>7</v>
      </c>
      <c r="D2190" t="s">
        <v>27</v>
      </c>
      <c r="E2190" s="2">
        <v>43336.278078703705</v>
      </c>
      <c r="F2190" t="s">
        <v>587</v>
      </c>
      <c r="G2190" t="s">
        <v>459</v>
      </c>
      <c r="H2190" t="s">
        <v>454</v>
      </c>
      <c r="I2190" t="s">
        <v>490</v>
      </c>
      <c r="J2190" t="s">
        <v>491</v>
      </c>
    </row>
    <row r="2191" spans="1:10" hidden="1" x14ac:dyDescent="0.25">
      <c r="A2191" t="s">
        <v>129</v>
      </c>
      <c r="B2191" t="s">
        <v>6</v>
      </c>
      <c r="C2191" t="s">
        <v>7</v>
      </c>
      <c r="D2191" t="s">
        <v>13</v>
      </c>
      <c r="E2191" s="2">
        <v>43336.278182870374</v>
      </c>
      <c r="F2191" t="s">
        <v>303</v>
      </c>
      <c r="G2191" t="s">
        <v>430</v>
      </c>
      <c r="H2191" t="s">
        <v>462</v>
      </c>
      <c r="I2191" t="s">
        <v>494</v>
      </c>
      <c r="J2191" t="s">
        <v>544</v>
      </c>
    </row>
    <row r="2192" spans="1:10" hidden="1" x14ac:dyDescent="0.25">
      <c r="A2192" t="s">
        <v>37</v>
      </c>
      <c r="B2192" t="s">
        <v>6</v>
      </c>
      <c r="C2192" t="s">
        <v>7</v>
      </c>
      <c r="D2192" t="s">
        <v>10</v>
      </c>
      <c r="E2192" s="2">
        <v>43336.278587962966</v>
      </c>
      <c r="F2192" t="s">
        <v>585</v>
      </c>
      <c r="G2192" t="s">
        <v>318</v>
      </c>
      <c r="H2192" t="s">
        <v>443</v>
      </c>
      <c r="I2192" t="s">
        <v>494</v>
      </c>
      <c r="J2192" t="s">
        <v>495</v>
      </c>
    </row>
    <row r="2193" spans="1:10" hidden="1" x14ac:dyDescent="0.25">
      <c r="A2193" t="s">
        <v>370</v>
      </c>
      <c r="B2193" t="s">
        <v>6</v>
      </c>
      <c r="C2193" t="s">
        <v>7</v>
      </c>
      <c r="D2193" t="s">
        <v>10</v>
      </c>
      <c r="E2193" s="2">
        <v>43336.278680555559</v>
      </c>
      <c r="F2193" t="s">
        <v>587</v>
      </c>
      <c r="G2193" t="s">
        <v>459</v>
      </c>
      <c r="H2193" t="s">
        <v>455</v>
      </c>
      <c r="I2193" t="s">
        <v>490</v>
      </c>
      <c r="J2193" t="s">
        <v>491</v>
      </c>
    </row>
    <row r="2194" spans="1:10" hidden="1" x14ac:dyDescent="0.25">
      <c r="A2194" t="s">
        <v>14</v>
      </c>
      <c r="B2194" t="s">
        <v>6</v>
      </c>
      <c r="C2194" t="s">
        <v>7</v>
      </c>
      <c r="D2194" t="s">
        <v>13</v>
      </c>
      <c r="E2194" s="2">
        <v>43336.278703703705</v>
      </c>
      <c r="F2194" t="s">
        <v>590</v>
      </c>
      <c r="G2194" t="s">
        <v>430</v>
      </c>
      <c r="H2194" t="s">
        <v>427</v>
      </c>
      <c r="I2194" t="s">
        <v>511</v>
      </c>
      <c r="J2194" t="s">
        <v>540</v>
      </c>
    </row>
    <row r="2195" spans="1:10" hidden="1" x14ac:dyDescent="0.25">
      <c r="A2195" t="s">
        <v>53</v>
      </c>
      <c r="B2195" t="s">
        <v>6</v>
      </c>
      <c r="C2195" t="s">
        <v>7</v>
      </c>
      <c r="D2195" t="s">
        <v>13</v>
      </c>
      <c r="E2195" s="2">
        <v>43336.27884259259</v>
      </c>
      <c r="F2195" t="s">
        <v>300</v>
      </c>
      <c r="G2195" t="s">
        <v>453</v>
      </c>
      <c r="H2195" t="s">
        <v>453</v>
      </c>
      <c r="I2195" t="s">
        <v>533</v>
      </c>
      <c r="J2195" t="s">
        <v>543</v>
      </c>
    </row>
    <row r="2196" spans="1:10" hidden="1" x14ac:dyDescent="0.25">
      <c r="A2196" t="s">
        <v>376</v>
      </c>
      <c r="B2196" t="s">
        <v>6</v>
      </c>
      <c r="C2196" t="s">
        <v>7</v>
      </c>
      <c r="D2196" t="s">
        <v>8</v>
      </c>
      <c r="E2196" s="2">
        <v>43336.27884259259</v>
      </c>
      <c r="F2196" t="s">
        <v>586</v>
      </c>
      <c r="G2196" t="s">
        <v>318</v>
      </c>
      <c r="H2196" t="s">
        <v>441</v>
      </c>
      <c r="I2196" t="s">
        <v>490</v>
      </c>
      <c r="J2196" t="s">
        <v>491</v>
      </c>
    </row>
    <row r="2197" spans="1:10" hidden="1" x14ac:dyDescent="0.25">
      <c r="A2197" t="s">
        <v>136</v>
      </c>
      <c r="B2197" t="s">
        <v>6</v>
      </c>
      <c r="C2197" t="s">
        <v>7</v>
      </c>
      <c r="D2197" t="s">
        <v>13</v>
      </c>
      <c r="E2197" s="2">
        <v>43336.278969907406</v>
      </c>
      <c r="F2197" t="s">
        <v>303</v>
      </c>
      <c r="G2197" t="s">
        <v>430</v>
      </c>
      <c r="H2197" t="s">
        <v>453</v>
      </c>
      <c r="I2197" t="s">
        <v>494</v>
      </c>
      <c r="J2197" t="s">
        <v>544</v>
      </c>
    </row>
    <row r="2198" spans="1:10" hidden="1" x14ac:dyDescent="0.25">
      <c r="A2198" t="s">
        <v>367</v>
      </c>
      <c r="B2198" t="s">
        <v>6</v>
      </c>
      <c r="C2198" t="s">
        <v>7</v>
      </c>
      <c r="D2198" t="s">
        <v>10</v>
      </c>
      <c r="E2198" s="2">
        <v>43336.279305555552</v>
      </c>
      <c r="F2198" t="s">
        <v>587</v>
      </c>
      <c r="G2198" t="s">
        <v>459</v>
      </c>
      <c r="H2198" t="s">
        <v>456</v>
      </c>
      <c r="I2198" t="s">
        <v>490</v>
      </c>
      <c r="J2198" t="s">
        <v>491</v>
      </c>
    </row>
    <row r="2199" spans="1:10" hidden="1" x14ac:dyDescent="0.25">
      <c r="A2199" t="s">
        <v>329</v>
      </c>
      <c r="B2199" t="s">
        <v>6</v>
      </c>
      <c r="C2199" t="s">
        <v>7</v>
      </c>
      <c r="D2199" t="s">
        <v>484</v>
      </c>
      <c r="E2199" s="2">
        <v>43336.279305555552</v>
      </c>
      <c r="F2199" t="s">
        <v>591</v>
      </c>
      <c r="G2199" t="s">
        <v>318</v>
      </c>
      <c r="H2199" t="s">
        <v>439</v>
      </c>
      <c r="I2199" t="s">
        <v>554</v>
      </c>
      <c r="J2199" t="s">
        <v>497</v>
      </c>
    </row>
    <row r="2200" spans="1:10" hidden="1" x14ac:dyDescent="0.25">
      <c r="A2200" t="s">
        <v>233</v>
      </c>
      <c r="B2200" t="s">
        <v>6</v>
      </c>
      <c r="C2200" t="s">
        <v>7</v>
      </c>
      <c r="D2200" t="s">
        <v>13</v>
      </c>
      <c r="E2200" s="2">
        <v>43336.279456018521</v>
      </c>
      <c r="F2200" t="s">
        <v>590</v>
      </c>
      <c r="G2200" t="s">
        <v>430</v>
      </c>
      <c r="H2200" t="s">
        <v>428</v>
      </c>
      <c r="I2200" t="s">
        <v>511</v>
      </c>
      <c r="J2200" t="s">
        <v>537</v>
      </c>
    </row>
    <row r="2201" spans="1:10" hidden="1" x14ac:dyDescent="0.25">
      <c r="A2201" t="s">
        <v>327</v>
      </c>
      <c r="B2201" t="s">
        <v>6</v>
      </c>
      <c r="C2201" t="s">
        <v>7</v>
      </c>
      <c r="D2201" t="s">
        <v>10</v>
      </c>
      <c r="E2201" s="2">
        <v>43336.279479166667</v>
      </c>
      <c r="F2201" t="s">
        <v>586</v>
      </c>
      <c r="G2201" t="s">
        <v>318</v>
      </c>
      <c r="H2201" t="s">
        <v>442</v>
      </c>
      <c r="I2201" t="s">
        <v>490</v>
      </c>
      <c r="J2201" t="s">
        <v>491</v>
      </c>
    </row>
    <row r="2202" spans="1:10" hidden="1" x14ac:dyDescent="0.25">
      <c r="A2202" t="s">
        <v>154</v>
      </c>
      <c r="B2202" t="s">
        <v>6</v>
      </c>
      <c r="C2202" t="s">
        <v>7</v>
      </c>
      <c r="D2202" t="s">
        <v>8</v>
      </c>
      <c r="E2202" s="2">
        <v>43336.27952546296</v>
      </c>
      <c r="F2202" t="s">
        <v>299</v>
      </c>
      <c r="G2202" t="s">
        <v>323</v>
      </c>
      <c r="H2202" t="s">
        <v>449</v>
      </c>
      <c r="I2202" t="s">
        <v>558</v>
      </c>
      <c r="J2202" t="s">
        <v>559</v>
      </c>
    </row>
    <row r="2203" spans="1:10" hidden="1" x14ac:dyDescent="0.25">
      <c r="A2203" t="s">
        <v>156</v>
      </c>
      <c r="B2203" t="s">
        <v>6</v>
      </c>
      <c r="C2203" t="s">
        <v>7</v>
      </c>
      <c r="D2203" t="s">
        <v>13</v>
      </c>
      <c r="E2203" s="2">
        <v>43336.279699074075</v>
      </c>
      <c r="F2203" t="s">
        <v>300</v>
      </c>
      <c r="G2203" t="s">
        <v>453</v>
      </c>
      <c r="H2203" t="s">
        <v>454</v>
      </c>
      <c r="I2203" t="s">
        <v>533</v>
      </c>
      <c r="J2203" t="s">
        <v>543</v>
      </c>
    </row>
    <row r="2204" spans="1:10" hidden="1" x14ac:dyDescent="0.25">
      <c r="A2204" t="s">
        <v>280</v>
      </c>
      <c r="B2204" t="s">
        <v>6</v>
      </c>
      <c r="C2204" t="s">
        <v>7</v>
      </c>
      <c r="D2204" t="s">
        <v>13</v>
      </c>
      <c r="E2204" s="2">
        <v>43336.279756944445</v>
      </c>
      <c r="F2204" t="s">
        <v>303</v>
      </c>
      <c r="G2204" t="s">
        <v>430</v>
      </c>
      <c r="H2204" t="s">
        <v>454</v>
      </c>
      <c r="I2204" t="s">
        <v>494</v>
      </c>
      <c r="J2204" t="s">
        <v>544</v>
      </c>
    </row>
    <row r="2205" spans="1:10" hidden="1" x14ac:dyDescent="0.25">
      <c r="A2205" t="s">
        <v>368</v>
      </c>
      <c r="B2205" t="s">
        <v>6</v>
      </c>
      <c r="C2205" t="s">
        <v>7</v>
      </c>
      <c r="D2205" t="s">
        <v>10</v>
      </c>
      <c r="E2205" s="2">
        <v>43336.279930555553</v>
      </c>
      <c r="F2205" t="s">
        <v>587</v>
      </c>
      <c r="G2205" t="s">
        <v>459</v>
      </c>
      <c r="H2205" t="s">
        <v>426</v>
      </c>
      <c r="I2205" t="s">
        <v>490</v>
      </c>
      <c r="J2205" t="s">
        <v>491</v>
      </c>
    </row>
    <row r="2206" spans="1:10" hidden="1" x14ac:dyDescent="0.25">
      <c r="A2206" t="s">
        <v>216</v>
      </c>
      <c r="B2206" t="s">
        <v>6</v>
      </c>
      <c r="C2206" t="s">
        <v>7</v>
      </c>
      <c r="D2206" t="s">
        <v>8</v>
      </c>
      <c r="E2206" s="2">
        <v>43336.280034722222</v>
      </c>
      <c r="F2206" t="s">
        <v>585</v>
      </c>
      <c r="G2206" t="s">
        <v>318</v>
      </c>
      <c r="H2206" t="s">
        <v>444</v>
      </c>
      <c r="I2206" t="s">
        <v>494</v>
      </c>
      <c r="J2206" t="s">
        <v>495</v>
      </c>
    </row>
    <row r="2207" spans="1:10" hidden="1" x14ac:dyDescent="0.25">
      <c r="A2207" t="s">
        <v>414</v>
      </c>
      <c r="B2207" t="s">
        <v>6</v>
      </c>
      <c r="C2207" t="s">
        <v>7</v>
      </c>
      <c r="D2207" t="s">
        <v>10</v>
      </c>
      <c r="E2207" s="2">
        <v>43336.280092592591</v>
      </c>
      <c r="F2207" t="s">
        <v>586</v>
      </c>
      <c r="G2207" t="s">
        <v>318</v>
      </c>
      <c r="H2207" t="s">
        <v>443</v>
      </c>
      <c r="I2207" t="s">
        <v>490</v>
      </c>
      <c r="J2207" t="s">
        <v>491</v>
      </c>
    </row>
    <row r="2208" spans="1:10" hidden="1" x14ac:dyDescent="0.25">
      <c r="A2208" t="s">
        <v>12</v>
      </c>
      <c r="B2208" t="s">
        <v>6</v>
      </c>
      <c r="C2208" t="s">
        <v>7</v>
      </c>
      <c r="D2208" t="s">
        <v>10</v>
      </c>
      <c r="E2208" s="2">
        <v>43336.280115740738</v>
      </c>
      <c r="F2208" t="s">
        <v>590</v>
      </c>
      <c r="G2208" t="s">
        <v>430</v>
      </c>
      <c r="H2208" t="s">
        <v>429</v>
      </c>
      <c r="I2208" t="s">
        <v>494</v>
      </c>
      <c r="J2208" t="s">
        <v>492</v>
      </c>
    </row>
    <row r="2209" spans="1:10" hidden="1" x14ac:dyDescent="0.25">
      <c r="A2209" t="s">
        <v>56</v>
      </c>
      <c r="B2209" t="s">
        <v>6</v>
      </c>
      <c r="C2209" t="s">
        <v>7</v>
      </c>
      <c r="D2209" t="s">
        <v>10</v>
      </c>
      <c r="E2209" s="2">
        <v>43336.280231481483</v>
      </c>
      <c r="F2209" t="s">
        <v>299</v>
      </c>
      <c r="G2209" t="s">
        <v>323</v>
      </c>
      <c r="H2209" t="s">
        <v>450</v>
      </c>
      <c r="I2209" t="s">
        <v>558</v>
      </c>
      <c r="J2209" t="s">
        <v>559</v>
      </c>
    </row>
    <row r="2210" spans="1:10" hidden="1" x14ac:dyDescent="0.25">
      <c r="A2210" t="s">
        <v>128</v>
      </c>
      <c r="B2210" t="s">
        <v>6</v>
      </c>
      <c r="C2210" t="s">
        <v>7</v>
      </c>
      <c r="D2210" t="s">
        <v>13</v>
      </c>
      <c r="E2210" s="2">
        <v>43336.280555555553</v>
      </c>
      <c r="F2210" t="s">
        <v>303</v>
      </c>
      <c r="G2210" t="s">
        <v>430</v>
      </c>
      <c r="H2210" t="s">
        <v>455</v>
      </c>
      <c r="I2210" t="s">
        <v>494</v>
      </c>
      <c r="J2210" t="s">
        <v>544</v>
      </c>
    </row>
    <row r="2211" spans="1:10" hidden="1" x14ac:dyDescent="0.25">
      <c r="A2211" t="s">
        <v>36</v>
      </c>
      <c r="B2211" t="s">
        <v>6</v>
      </c>
      <c r="C2211" t="s">
        <v>7</v>
      </c>
      <c r="D2211" t="s">
        <v>10</v>
      </c>
      <c r="E2211" s="2">
        <v>43336.280717592592</v>
      </c>
      <c r="F2211" t="s">
        <v>585</v>
      </c>
      <c r="G2211" t="s">
        <v>318</v>
      </c>
      <c r="H2211" t="s">
        <v>445</v>
      </c>
      <c r="I2211" t="s">
        <v>494</v>
      </c>
      <c r="J2211" t="s">
        <v>495</v>
      </c>
    </row>
    <row r="2212" spans="1:10" hidden="1" x14ac:dyDescent="0.25">
      <c r="A2212" t="s">
        <v>11</v>
      </c>
      <c r="B2212" t="s">
        <v>6</v>
      </c>
      <c r="C2212" t="s">
        <v>7</v>
      </c>
      <c r="D2212" t="s">
        <v>10</v>
      </c>
      <c r="E2212" s="2">
        <v>43336.280752314815</v>
      </c>
      <c r="F2212" t="s">
        <v>590</v>
      </c>
      <c r="G2212" t="s">
        <v>430</v>
      </c>
      <c r="H2212" t="s">
        <v>430</v>
      </c>
      <c r="I2212" t="s">
        <v>494</v>
      </c>
      <c r="J2212" t="s">
        <v>533</v>
      </c>
    </row>
    <row r="2213" spans="1:10" hidden="1" x14ac:dyDescent="0.25">
      <c r="A2213" t="s">
        <v>383</v>
      </c>
      <c r="B2213" t="s">
        <v>6</v>
      </c>
      <c r="C2213" t="s">
        <v>7</v>
      </c>
      <c r="D2213" t="s">
        <v>484</v>
      </c>
      <c r="E2213" s="2">
        <v>43336.280763888892</v>
      </c>
      <c r="F2213" t="s">
        <v>591</v>
      </c>
      <c r="G2213" t="s">
        <v>318</v>
      </c>
      <c r="H2213" t="s">
        <v>440</v>
      </c>
      <c r="I2213" t="s">
        <v>554</v>
      </c>
      <c r="J2213" t="s">
        <v>497</v>
      </c>
    </row>
    <row r="2214" spans="1:10" hidden="1" x14ac:dyDescent="0.25">
      <c r="A2214" t="s">
        <v>420</v>
      </c>
      <c r="B2214" t="s">
        <v>6</v>
      </c>
      <c r="C2214" t="s">
        <v>7</v>
      </c>
      <c r="D2214" t="s">
        <v>27</v>
      </c>
      <c r="E2214" s="2">
        <v>43336.280833333331</v>
      </c>
      <c r="F2214" t="s">
        <v>586</v>
      </c>
      <c r="G2214" t="s">
        <v>318</v>
      </c>
      <c r="H2214" t="s">
        <v>444</v>
      </c>
      <c r="I2214" t="s">
        <v>490</v>
      </c>
      <c r="J2214" t="s">
        <v>491</v>
      </c>
    </row>
    <row r="2215" spans="1:10" hidden="1" x14ac:dyDescent="0.25">
      <c r="A2215" t="s">
        <v>70</v>
      </c>
      <c r="B2215" t="s">
        <v>6</v>
      </c>
      <c r="C2215" t="s">
        <v>7</v>
      </c>
      <c r="D2215" t="s">
        <v>8</v>
      </c>
      <c r="E2215" s="2">
        <v>43336.281122685185</v>
      </c>
      <c r="F2215" t="s">
        <v>300</v>
      </c>
      <c r="G2215" t="s">
        <v>453</v>
      </c>
      <c r="H2215" t="s">
        <v>455</v>
      </c>
      <c r="I2215" t="s">
        <v>533</v>
      </c>
      <c r="J2215" t="s">
        <v>543</v>
      </c>
    </row>
    <row r="2216" spans="1:10" hidden="1" x14ac:dyDescent="0.25">
      <c r="A2216" t="s">
        <v>126</v>
      </c>
      <c r="B2216" t="s">
        <v>6</v>
      </c>
      <c r="C2216" t="s">
        <v>7</v>
      </c>
      <c r="D2216" t="s">
        <v>13</v>
      </c>
      <c r="E2216" s="2">
        <v>43336.281331018516</v>
      </c>
      <c r="F2216" t="s">
        <v>303</v>
      </c>
      <c r="G2216" t="s">
        <v>430</v>
      </c>
      <c r="H2216" t="s">
        <v>456</v>
      </c>
      <c r="I2216" t="s">
        <v>494</v>
      </c>
      <c r="J2216" t="s">
        <v>544</v>
      </c>
    </row>
    <row r="2217" spans="1:10" hidden="1" x14ac:dyDescent="0.25">
      <c r="A2217" t="s">
        <v>195</v>
      </c>
      <c r="B2217" t="s">
        <v>6</v>
      </c>
      <c r="C2217" t="s">
        <v>7</v>
      </c>
      <c r="D2217" t="s">
        <v>10</v>
      </c>
      <c r="E2217" s="2">
        <v>43336.281354166669</v>
      </c>
      <c r="F2217" t="s">
        <v>585</v>
      </c>
      <c r="G2217" t="s">
        <v>318</v>
      </c>
      <c r="H2217" t="s">
        <v>446</v>
      </c>
      <c r="I2217" t="s">
        <v>494</v>
      </c>
      <c r="J2217" t="s">
        <v>495</v>
      </c>
    </row>
    <row r="2218" spans="1:10" hidden="1" x14ac:dyDescent="0.25">
      <c r="A2218" t="s">
        <v>371</v>
      </c>
      <c r="B2218" t="s">
        <v>6</v>
      </c>
      <c r="C2218" t="s">
        <v>7</v>
      </c>
      <c r="D2218" t="s">
        <v>8</v>
      </c>
      <c r="E2218" s="2">
        <v>43336.281388888892</v>
      </c>
      <c r="F2218" t="s">
        <v>587</v>
      </c>
      <c r="G2218" t="s">
        <v>459</v>
      </c>
      <c r="H2218" t="s">
        <v>427</v>
      </c>
      <c r="I2218" t="s">
        <v>490</v>
      </c>
      <c r="J2218" t="s">
        <v>491</v>
      </c>
    </row>
    <row r="2219" spans="1:10" hidden="1" x14ac:dyDescent="0.25">
      <c r="A2219" t="s">
        <v>421</v>
      </c>
      <c r="B2219" t="s">
        <v>6</v>
      </c>
      <c r="C2219" t="s">
        <v>7</v>
      </c>
      <c r="D2219" t="s">
        <v>10</v>
      </c>
      <c r="E2219" s="2">
        <v>43336.281469907408</v>
      </c>
      <c r="F2219" t="s">
        <v>586</v>
      </c>
      <c r="G2219" t="s">
        <v>318</v>
      </c>
      <c r="H2219" t="s">
        <v>445</v>
      </c>
      <c r="I2219" t="s">
        <v>490</v>
      </c>
      <c r="J2219" t="s">
        <v>491</v>
      </c>
    </row>
    <row r="2220" spans="1:10" hidden="1" x14ac:dyDescent="0.25">
      <c r="A2220" t="s">
        <v>9</v>
      </c>
      <c r="B2220" t="s">
        <v>6</v>
      </c>
      <c r="C2220" t="s">
        <v>7</v>
      </c>
      <c r="D2220" t="s">
        <v>13</v>
      </c>
      <c r="E2220" s="2">
        <v>43336.281574074077</v>
      </c>
      <c r="F2220" t="s">
        <v>590</v>
      </c>
      <c r="G2220" t="s">
        <v>430</v>
      </c>
      <c r="H2220" t="s">
        <v>431</v>
      </c>
      <c r="I2220" t="s">
        <v>494</v>
      </c>
      <c r="J2220" t="s">
        <v>533</v>
      </c>
    </row>
    <row r="2221" spans="1:10" hidden="1" x14ac:dyDescent="0.25">
      <c r="A2221" t="s">
        <v>321</v>
      </c>
      <c r="B2221" t="s">
        <v>6</v>
      </c>
      <c r="C2221" t="s">
        <v>7</v>
      </c>
      <c r="D2221" t="s">
        <v>13</v>
      </c>
      <c r="E2221" s="2">
        <v>43336.281585648147</v>
      </c>
      <c r="F2221" t="s">
        <v>591</v>
      </c>
      <c r="G2221" t="s">
        <v>318</v>
      </c>
      <c r="H2221" t="s">
        <v>441</v>
      </c>
      <c r="I2221" t="s">
        <v>554</v>
      </c>
      <c r="J2221" t="s">
        <v>497</v>
      </c>
    </row>
    <row r="2222" spans="1:10" hidden="1" x14ac:dyDescent="0.25">
      <c r="A2222" t="s">
        <v>78</v>
      </c>
      <c r="B2222" t="s">
        <v>6</v>
      </c>
      <c r="C2222" t="s">
        <v>7</v>
      </c>
      <c r="D2222" t="s">
        <v>8</v>
      </c>
      <c r="E2222" s="2">
        <v>43336.281724537039</v>
      </c>
      <c r="F2222" t="s">
        <v>299</v>
      </c>
      <c r="G2222" t="s">
        <v>323</v>
      </c>
      <c r="H2222" t="s">
        <v>451</v>
      </c>
      <c r="I2222" t="s">
        <v>558</v>
      </c>
      <c r="J2222" t="s">
        <v>559</v>
      </c>
    </row>
    <row r="2223" spans="1:10" hidden="1" x14ac:dyDescent="0.25">
      <c r="A2223" t="s">
        <v>52</v>
      </c>
      <c r="B2223" t="s">
        <v>6</v>
      </c>
      <c r="C2223" t="s">
        <v>7</v>
      </c>
      <c r="D2223" t="s">
        <v>10</v>
      </c>
      <c r="E2223" s="2">
        <v>43336.281817129631</v>
      </c>
      <c r="F2223" t="s">
        <v>300</v>
      </c>
      <c r="G2223" t="s">
        <v>453</v>
      </c>
      <c r="H2223" t="s">
        <v>456</v>
      </c>
      <c r="I2223" t="s">
        <v>533</v>
      </c>
      <c r="J2223" t="s">
        <v>543</v>
      </c>
    </row>
    <row r="2224" spans="1:10" hidden="1" x14ac:dyDescent="0.25">
      <c r="A2224" t="s">
        <v>35</v>
      </c>
      <c r="B2224" t="s">
        <v>6</v>
      </c>
      <c r="C2224" t="s">
        <v>7</v>
      </c>
      <c r="D2224" t="s">
        <v>10</v>
      </c>
      <c r="E2224" s="2">
        <v>43336.282013888886</v>
      </c>
      <c r="F2224" t="s">
        <v>585</v>
      </c>
      <c r="G2224" t="s">
        <v>318</v>
      </c>
      <c r="H2224" t="s">
        <v>447</v>
      </c>
      <c r="I2224" t="s">
        <v>494</v>
      </c>
      <c r="J2224" t="s">
        <v>495</v>
      </c>
    </row>
    <row r="2225" spans="1:10" hidden="1" x14ac:dyDescent="0.25">
      <c r="A2225" t="s">
        <v>372</v>
      </c>
      <c r="B2225" t="s">
        <v>6</v>
      </c>
      <c r="C2225" t="s">
        <v>7</v>
      </c>
      <c r="D2225" t="s">
        <v>10</v>
      </c>
      <c r="E2225" s="2">
        <v>43336.282013888886</v>
      </c>
      <c r="F2225" t="s">
        <v>587</v>
      </c>
      <c r="G2225" t="s">
        <v>459</v>
      </c>
      <c r="H2225" t="s">
        <v>428</v>
      </c>
      <c r="I2225" t="s">
        <v>490</v>
      </c>
      <c r="J2225" t="s">
        <v>491</v>
      </c>
    </row>
    <row r="2226" spans="1:10" hidden="1" x14ac:dyDescent="0.25">
      <c r="A2226" t="s">
        <v>390</v>
      </c>
      <c r="B2226" t="s">
        <v>6</v>
      </c>
      <c r="C2226" t="s">
        <v>7</v>
      </c>
      <c r="D2226" t="s">
        <v>10</v>
      </c>
      <c r="E2226" s="2">
        <v>43336.282094907408</v>
      </c>
      <c r="F2226" t="s">
        <v>586</v>
      </c>
      <c r="G2226" t="s">
        <v>318</v>
      </c>
      <c r="H2226" t="s">
        <v>446</v>
      </c>
      <c r="I2226" t="s">
        <v>490</v>
      </c>
      <c r="J2226" t="s">
        <v>491</v>
      </c>
    </row>
    <row r="2227" spans="1:10" hidden="1" x14ac:dyDescent="0.25">
      <c r="A2227" t="s">
        <v>125</v>
      </c>
      <c r="B2227" t="s">
        <v>6</v>
      </c>
      <c r="C2227" t="s">
        <v>7</v>
      </c>
      <c r="D2227" t="s">
        <v>13</v>
      </c>
      <c r="E2227" s="2">
        <v>43336.282141203701</v>
      </c>
      <c r="F2227" t="s">
        <v>303</v>
      </c>
      <c r="G2227" t="s">
        <v>430</v>
      </c>
      <c r="H2227" t="s">
        <v>426</v>
      </c>
      <c r="I2227" t="s">
        <v>494</v>
      </c>
      <c r="J2227" t="s">
        <v>544</v>
      </c>
    </row>
    <row r="2228" spans="1:10" hidden="1" x14ac:dyDescent="0.25">
      <c r="A2228" t="s">
        <v>51</v>
      </c>
      <c r="B2228" t="s">
        <v>6</v>
      </c>
      <c r="C2228" t="s">
        <v>7</v>
      </c>
      <c r="D2228" t="s">
        <v>10</v>
      </c>
      <c r="E2228" s="2">
        <v>43336.282476851855</v>
      </c>
      <c r="F2228" t="s">
        <v>300</v>
      </c>
      <c r="G2228" t="s">
        <v>453</v>
      </c>
      <c r="H2228" t="s">
        <v>426</v>
      </c>
      <c r="I2228" t="s">
        <v>533</v>
      </c>
      <c r="J2228" t="s">
        <v>543</v>
      </c>
    </row>
    <row r="2229" spans="1:10" hidden="1" x14ac:dyDescent="0.25">
      <c r="A2229" t="s">
        <v>373</v>
      </c>
      <c r="B2229" t="s">
        <v>6</v>
      </c>
      <c r="C2229" t="s">
        <v>7</v>
      </c>
      <c r="D2229" t="s">
        <v>10</v>
      </c>
      <c r="E2229" s="2">
        <v>43336.282627314817</v>
      </c>
      <c r="F2229" t="s">
        <v>587</v>
      </c>
      <c r="G2229" t="s">
        <v>459</v>
      </c>
      <c r="H2229" t="s">
        <v>429</v>
      </c>
      <c r="I2229" t="s">
        <v>563</v>
      </c>
      <c r="J2229" t="s">
        <v>491</v>
      </c>
    </row>
    <row r="2230" spans="1:10" hidden="1" x14ac:dyDescent="0.25">
      <c r="A2230" t="s">
        <v>391</v>
      </c>
      <c r="B2230" t="s">
        <v>6</v>
      </c>
      <c r="C2230" t="s">
        <v>7</v>
      </c>
      <c r="D2230" t="s">
        <v>10</v>
      </c>
      <c r="E2230" s="2">
        <v>43336.282743055555</v>
      </c>
      <c r="F2230" t="s">
        <v>586</v>
      </c>
      <c r="G2230" t="s">
        <v>318</v>
      </c>
      <c r="H2230" t="s">
        <v>447</v>
      </c>
      <c r="I2230" t="s">
        <v>490</v>
      </c>
      <c r="J2230" t="s">
        <v>491</v>
      </c>
    </row>
    <row r="2231" spans="1:10" hidden="1" x14ac:dyDescent="0.25">
      <c r="A2231" t="s">
        <v>5</v>
      </c>
      <c r="B2231" t="s">
        <v>6</v>
      </c>
      <c r="C2231" t="s">
        <v>7</v>
      </c>
      <c r="D2231" t="s">
        <v>484</v>
      </c>
      <c r="E2231" s="2">
        <v>43336.283020833333</v>
      </c>
      <c r="F2231" t="s">
        <v>590</v>
      </c>
      <c r="G2231" t="s">
        <v>430</v>
      </c>
      <c r="H2231" t="s">
        <v>432</v>
      </c>
      <c r="I2231" t="s">
        <v>513</v>
      </c>
      <c r="J2231" t="s">
        <v>513</v>
      </c>
    </row>
    <row r="2232" spans="1:10" hidden="1" x14ac:dyDescent="0.25">
      <c r="A2232" t="s">
        <v>356</v>
      </c>
      <c r="B2232" t="s">
        <v>6</v>
      </c>
      <c r="C2232" t="s">
        <v>7</v>
      </c>
      <c r="D2232" t="s">
        <v>484</v>
      </c>
      <c r="E2232" s="2">
        <v>43336.283078703702</v>
      </c>
      <c r="F2232" t="s">
        <v>591</v>
      </c>
      <c r="G2232" t="s">
        <v>318</v>
      </c>
      <c r="H2232" t="s">
        <v>442</v>
      </c>
      <c r="I2232" t="s">
        <v>554</v>
      </c>
      <c r="J2232" t="s">
        <v>497</v>
      </c>
    </row>
    <row r="2233" spans="1:10" hidden="1" x14ac:dyDescent="0.25">
      <c r="A2233" t="s">
        <v>374</v>
      </c>
      <c r="B2233" t="s">
        <v>6</v>
      </c>
      <c r="C2233" t="s">
        <v>7</v>
      </c>
      <c r="D2233" t="s">
        <v>10</v>
      </c>
      <c r="E2233" s="2">
        <v>43336.28324074074</v>
      </c>
      <c r="F2233" t="s">
        <v>587</v>
      </c>
      <c r="G2233" t="s">
        <v>459</v>
      </c>
      <c r="H2233" t="s">
        <v>430</v>
      </c>
      <c r="I2233" t="s">
        <v>564</v>
      </c>
      <c r="J2233" t="s">
        <v>491</v>
      </c>
    </row>
    <row r="2234" spans="1:10" hidden="1" x14ac:dyDescent="0.25">
      <c r="A2234" t="s">
        <v>34</v>
      </c>
      <c r="B2234" t="s">
        <v>6</v>
      </c>
      <c r="C2234" t="s">
        <v>7</v>
      </c>
      <c r="D2234" t="s">
        <v>8</v>
      </c>
      <c r="E2234" s="2">
        <v>43336.283530092594</v>
      </c>
      <c r="F2234" t="s">
        <v>585</v>
      </c>
      <c r="G2234" t="s">
        <v>318</v>
      </c>
      <c r="H2234" t="s">
        <v>448</v>
      </c>
      <c r="I2234" t="s">
        <v>494</v>
      </c>
      <c r="J2234" t="s">
        <v>495</v>
      </c>
    </row>
    <row r="2235" spans="1:10" hidden="1" x14ac:dyDescent="0.25">
      <c r="A2235" t="s">
        <v>283</v>
      </c>
      <c r="B2235" t="s">
        <v>6</v>
      </c>
      <c r="C2235" t="s">
        <v>7</v>
      </c>
      <c r="D2235" t="s">
        <v>13</v>
      </c>
      <c r="E2235" s="2">
        <v>43336.283796296295</v>
      </c>
      <c r="F2235" t="s">
        <v>590</v>
      </c>
      <c r="G2235" t="s">
        <v>430</v>
      </c>
      <c r="H2235" t="s">
        <v>433</v>
      </c>
      <c r="I2235" t="s">
        <v>513</v>
      </c>
      <c r="J2235" t="s">
        <v>513</v>
      </c>
    </row>
    <row r="2236" spans="1:10" hidden="1" x14ac:dyDescent="0.25">
      <c r="A2236" t="s">
        <v>375</v>
      </c>
      <c r="B2236" t="s">
        <v>6</v>
      </c>
      <c r="C2236" t="s">
        <v>7</v>
      </c>
      <c r="D2236" t="s">
        <v>10</v>
      </c>
      <c r="E2236" s="2">
        <v>43336.283865740741</v>
      </c>
      <c r="F2236" t="s">
        <v>587</v>
      </c>
      <c r="G2236" t="s">
        <v>459</v>
      </c>
      <c r="H2236" t="s">
        <v>431</v>
      </c>
      <c r="I2236" t="s">
        <v>566</v>
      </c>
      <c r="J2236" t="s">
        <v>491</v>
      </c>
    </row>
    <row r="2237" spans="1:10" hidden="1" x14ac:dyDescent="0.25">
      <c r="A2237" t="s">
        <v>90</v>
      </c>
      <c r="B2237" t="s">
        <v>6</v>
      </c>
      <c r="C2237" t="s">
        <v>7</v>
      </c>
      <c r="D2237" t="s">
        <v>8</v>
      </c>
      <c r="E2237" s="2">
        <v>43336.284004629626</v>
      </c>
      <c r="F2237" t="s">
        <v>300</v>
      </c>
      <c r="G2237" t="s">
        <v>453</v>
      </c>
      <c r="H2237" t="s">
        <v>427</v>
      </c>
      <c r="I2237" t="s">
        <v>533</v>
      </c>
      <c r="J2237" t="s">
        <v>543</v>
      </c>
    </row>
    <row r="2238" spans="1:10" hidden="1" x14ac:dyDescent="0.25">
      <c r="A2238" t="s">
        <v>364</v>
      </c>
      <c r="B2238" t="s">
        <v>6</v>
      </c>
      <c r="C2238" t="s">
        <v>7</v>
      </c>
      <c r="D2238" t="s">
        <v>8</v>
      </c>
      <c r="E2238" s="2">
        <v>43336.284143518518</v>
      </c>
      <c r="F2238" t="s">
        <v>586</v>
      </c>
      <c r="G2238" t="s">
        <v>318</v>
      </c>
      <c r="H2238" t="s">
        <v>448</v>
      </c>
      <c r="I2238" t="s">
        <v>490</v>
      </c>
      <c r="J2238" t="s">
        <v>491</v>
      </c>
    </row>
    <row r="2239" spans="1:10" hidden="1" x14ac:dyDescent="0.25">
      <c r="A2239" t="s">
        <v>33</v>
      </c>
      <c r="B2239" t="s">
        <v>6</v>
      </c>
      <c r="C2239" t="s">
        <v>7</v>
      </c>
      <c r="D2239" t="s">
        <v>10</v>
      </c>
      <c r="E2239" s="2">
        <v>43336.284201388888</v>
      </c>
      <c r="F2239" t="s">
        <v>585</v>
      </c>
      <c r="G2239" t="s">
        <v>318</v>
      </c>
      <c r="H2239" t="s">
        <v>449</v>
      </c>
      <c r="I2239" t="s">
        <v>494</v>
      </c>
      <c r="J2239" t="s">
        <v>495</v>
      </c>
    </row>
    <row r="2240" spans="1:10" hidden="1" x14ac:dyDescent="0.25">
      <c r="A2240" t="s">
        <v>343</v>
      </c>
      <c r="B2240" t="s">
        <v>6</v>
      </c>
      <c r="C2240" t="s">
        <v>7</v>
      </c>
      <c r="D2240" t="s">
        <v>10</v>
      </c>
      <c r="E2240" s="2">
        <v>43336.284513888888</v>
      </c>
      <c r="F2240" t="s">
        <v>587</v>
      </c>
      <c r="G2240" t="s">
        <v>459</v>
      </c>
      <c r="H2240" t="s">
        <v>432</v>
      </c>
      <c r="I2240" t="s">
        <v>567</v>
      </c>
      <c r="J2240" t="s">
        <v>491</v>
      </c>
    </row>
    <row r="2241" spans="1:10" hidden="1" x14ac:dyDescent="0.25">
      <c r="A2241" t="s">
        <v>425</v>
      </c>
      <c r="B2241" t="s">
        <v>6</v>
      </c>
      <c r="C2241" t="s">
        <v>7</v>
      </c>
      <c r="D2241" t="s">
        <v>484</v>
      </c>
      <c r="E2241" s="2">
        <v>43336.284537037034</v>
      </c>
      <c r="F2241" t="s">
        <v>591</v>
      </c>
      <c r="G2241" t="s">
        <v>318</v>
      </c>
      <c r="H2241" t="s">
        <v>443</v>
      </c>
      <c r="I2241" t="s">
        <v>554</v>
      </c>
      <c r="J2241" t="s">
        <v>497</v>
      </c>
    </row>
    <row r="2242" spans="1:10" hidden="1" x14ac:dyDescent="0.25">
      <c r="A2242" t="s">
        <v>86</v>
      </c>
      <c r="B2242" t="s">
        <v>6</v>
      </c>
      <c r="C2242" t="s">
        <v>7</v>
      </c>
      <c r="D2242" t="s">
        <v>13</v>
      </c>
      <c r="E2242" s="2">
        <v>43336.284618055557</v>
      </c>
      <c r="F2242" t="s">
        <v>590</v>
      </c>
      <c r="G2242" t="s">
        <v>430</v>
      </c>
      <c r="H2242" t="s">
        <v>434</v>
      </c>
      <c r="I2242" t="s">
        <v>513</v>
      </c>
      <c r="J2242" t="s">
        <v>513</v>
      </c>
    </row>
    <row r="2243" spans="1:10" hidden="1" x14ac:dyDescent="0.25">
      <c r="A2243" t="s">
        <v>344</v>
      </c>
      <c r="B2243" t="s">
        <v>6</v>
      </c>
      <c r="C2243" t="s">
        <v>7</v>
      </c>
      <c r="D2243" t="s">
        <v>10</v>
      </c>
      <c r="E2243" s="2">
        <v>43336.285138888888</v>
      </c>
      <c r="F2243" t="s">
        <v>587</v>
      </c>
      <c r="G2243" t="s">
        <v>459</v>
      </c>
      <c r="H2243" t="s">
        <v>433</v>
      </c>
      <c r="I2243" t="s">
        <v>569</v>
      </c>
      <c r="J2243" t="s">
        <v>491</v>
      </c>
    </row>
    <row r="2244" spans="1:10" hidden="1" x14ac:dyDescent="0.25">
      <c r="A2244" t="s">
        <v>116</v>
      </c>
      <c r="B2244" t="s">
        <v>6</v>
      </c>
      <c r="C2244" t="s">
        <v>7</v>
      </c>
      <c r="D2244" t="s">
        <v>13</v>
      </c>
      <c r="E2244" s="2">
        <v>43336.285405092596</v>
      </c>
      <c r="F2244" t="s">
        <v>590</v>
      </c>
      <c r="G2244" t="s">
        <v>430</v>
      </c>
      <c r="H2244" t="s">
        <v>435</v>
      </c>
      <c r="I2244" t="s">
        <v>513</v>
      </c>
      <c r="J2244" t="s">
        <v>513</v>
      </c>
    </row>
    <row r="2245" spans="1:10" hidden="1" x14ac:dyDescent="0.25">
      <c r="A2245" t="s">
        <v>106</v>
      </c>
      <c r="B2245" t="s">
        <v>6</v>
      </c>
      <c r="C2245" t="s">
        <v>7</v>
      </c>
      <c r="D2245" t="s">
        <v>8</v>
      </c>
      <c r="E2245" s="2">
        <v>43336.285474537035</v>
      </c>
      <c r="F2245" t="s">
        <v>300</v>
      </c>
      <c r="G2245" t="s">
        <v>453</v>
      </c>
      <c r="H2245" t="s">
        <v>428</v>
      </c>
      <c r="I2245" t="s">
        <v>533</v>
      </c>
      <c r="J2245" t="s">
        <v>543</v>
      </c>
    </row>
    <row r="2246" spans="1:10" hidden="1" x14ac:dyDescent="0.25">
      <c r="A2246" t="s">
        <v>386</v>
      </c>
      <c r="B2246" t="s">
        <v>6</v>
      </c>
      <c r="C2246" t="s">
        <v>7</v>
      </c>
      <c r="D2246" t="s">
        <v>8</v>
      </c>
      <c r="E2246" s="2">
        <v>43336.285682870373</v>
      </c>
      <c r="F2246" t="s">
        <v>586</v>
      </c>
      <c r="G2246" t="s">
        <v>318</v>
      </c>
      <c r="H2246" t="s">
        <v>449</v>
      </c>
      <c r="I2246" t="s">
        <v>490</v>
      </c>
      <c r="J2246" t="s">
        <v>491</v>
      </c>
    </row>
    <row r="2247" spans="1:10" hidden="1" x14ac:dyDescent="0.25">
      <c r="A2247" t="s">
        <v>32</v>
      </c>
      <c r="B2247" t="s">
        <v>6</v>
      </c>
      <c r="C2247" t="s">
        <v>7</v>
      </c>
      <c r="D2247" t="s">
        <v>8</v>
      </c>
      <c r="E2247" s="2">
        <v>43336.285682870373</v>
      </c>
      <c r="F2247" t="s">
        <v>585</v>
      </c>
      <c r="G2247" t="s">
        <v>318</v>
      </c>
      <c r="H2247" t="s">
        <v>450</v>
      </c>
      <c r="I2247" t="s">
        <v>494</v>
      </c>
      <c r="J2247" t="s">
        <v>495</v>
      </c>
    </row>
    <row r="2248" spans="1:10" hidden="1" x14ac:dyDescent="0.25">
      <c r="A2248" t="s">
        <v>345</v>
      </c>
      <c r="B2248" t="s">
        <v>6</v>
      </c>
      <c r="C2248" t="s">
        <v>7</v>
      </c>
      <c r="D2248" t="s">
        <v>10</v>
      </c>
      <c r="E2248" s="2">
        <v>43336.285763888889</v>
      </c>
      <c r="F2248" t="s">
        <v>587</v>
      </c>
      <c r="G2248" t="s">
        <v>459</v>
      </c>
      <c r="H2248" t="s">
        <v>434</v>
      </c>
      <c r="I2248" t="s">
        <v>571</v>
      </c>
      <c r="J2248" t="s">
        <v>491</v>
      </c>
    </row>
    <row r="2249" spans="1:10" hidden="1" x14ac:dyDescent="0.25">
      <c r="A2249" t="s">
        <v>330</v>
      </c>
      <c r="B2249" t="s">
        <v>6</v>
      </c>
      <c r="C2249" t="s">
        <v>7</v>
      </c>
      <c r="D2249" t="s">
        <v>73</v>
      </c>
      <c r="E2249" s="2">
        <v>43336.285833333335</v>
      </c>
      <c r="F2249" t="s">
        <v>591</v>
      </c>
      <c r="G2249" t="s">
        <v>318</v>
      </c>
      <c r="H2249" t="s">
        <v>444</v>
      </c>
      <c r="I2249" t="s">
        <v>554</v>
      </c>
      <c r="J2249" t="s">
        <v>497</v>
      </c>
    </row>
    <row r="2250" spans="1:10" hidden="1" x14ac:dyDescent="0.25">
      <c r="A2250" t="s">
        <v>50</v>
      </c>
      <c r="B2250" t="s">
        <v>6</v>
      </c>
      <c r="C2250" t="s">
        <v>7</v>
      </c>
      <c r="D2250" t="s">
        <v>10</v>
      </c>
      <c r="E2250" s="2">
        <v>43336.286122685182</v>
      </c>
      <c r="F2250" t="s">
        <v>300</v>
      </c>
      <c r="G2250" t="s">
        <v>453</v>
      </c>
      <c r="H2250" t="s">
        <v>429</v>
      </c>
      <c r="I2250" t="s">
        <v>533</v>
      </c>
      <c r="J2250" t="s">
        <v>543</v>
      </c>
    </row>
    <row r="2251" spans="1:10" hidden="1" x14ac:dyDescent="0.25">
      <c r="A2251" t="s">
        <v>85</v>
      </c>
      <c r="B2251" t="s">
        <v>6</v>
      </c>
      <c r="C2251" t="s">
        <v>7</v>
      </c>
      <c r="D2251" t="s">
        <v>13</v>
      </c>
      <c r="E2251" s="2">
        <v>43336.286238425928</v>
      </c>
      <c r="F2251" t="s">
        <v>590</v>
      </c>
      <c r="G2251" t="s">
        <v>430</v>
      </c>
      <c r="H2251" t="s">
        <v>436</v>
      </c>
      <c r="I2251" t="s">
        <v>513</v>
      </c>
      <c r="J2251" t="s">
        <v>513</v>
      </c>
    </row>
    <row r="2252" spans="1:10" hidden="1" x14ac:dyDescent="0.25">
      <c r="A2252" t="s">
        <v>346</v>
      </c>
      <c r="B2252" t="s">
        <v>6</v>
      </c>
      <c r="C2252" t="s">
        <v>7</v>
      </c>
      <c r="D2252" t="s">
        <v>10</v>
      </c>
      <c r="E2252" s="2">
        <v>43336.286365740743</v>
      </c>
      <c r="F2252" t="s">
        <v>587</v>
      </c>
      <c r="G2252" t="s">
        <v>459</v>
      </c>
      <c r="H2252" t="s">
        <v>435</v>
      </c>
      <c r="I2252" t="s">
        <v>570</v>
      </c>
      <c r="J2252" t="s">
        <v>491</v>
      </c>
    </row>
    <row r="2253" spans="1:10" hidden="1" x14ac:dyDescent="0.25">
      <c r="A2253" t="s">
        <v>49</v>
      </c>
      <c r="B2253" t="s">
        <v>6</v>
      </c>
      <c r="C2253" t="s">
        <v>7</v>
      </c>
      <c r="D2253" t="s">
        <v>10</v>
      </c>
      <c r="E2253" s="2">
        <v>43336.286782407406</v>
      </c>
      <c r="F2253" t="s">
        <v>300</v>
      </c>
      <c r="G2253" t="s">
        <v>453</v>
      </c>
      <c r="H2253" t="s">
        <v>430</v>
      </c>
      <c r="I2253" t="s">
        <v>533</v>
      </c>
      <c r="J2253" t="s">
        <v>543</v>
      </c>
    </row>
    <row r="2254" spans="1:10" hidden="1" x14ac:dyDescent="0.25">
      <c r="A2254" t="s">
        <v>84</v>
      </c>
      <c r="B2254" t="s">
        <v>6</v>
      </c>
      <c r="C2254" t="s">
        <v>7</v>
      </c>
      <c r="D2254" t="s">
        <v>10</v>
      </c>
      <c r="E2254" s="2">
        <v>43336.286886574075</v>
      </c>
      <c r="F2254" t="s">
        <v>590</v>
      </c>
      <c r="G2254" t="s">
        <v>430</v>
      </c>
      <c r="H2254" t="s">
        <v>437</v>
      </c>
      <c r="I2254" t="s">
        <v>513</v>
      </c>
      <c r="J2254" t="s">
        <v>513</v>
      </c>
    </row>
    <row r="2255" spans="1:10" hidden="1" x14ac:dyDescent="0.25">
      <c r="A2255" t="s">
        <v>392</v>
      </c>
      <c r="B2255" t="s">
        <v>6</v>
      </c>
      <c r="C2255" t="s">
        <v>7</v>
      </c>
      <c r="D2255" t="s">
        <v>8</v>
      </c>
      <c r="E2255" s="2">
        <v>43336.287106481483</v>
      </c>
      <c r="F2255" t="s">
        <v>586</v>
      </c>
      <c r="G2255" t="s">
        <v>318</v>
      </c>
      <c r="H2255" t="s">
        <v>450</v>
      </c>
      <c r="I2255" t="s">
        <v>490</v>
      </c>
      <c r="J2255" t="s">
        <v>491</v>
      </c>
    </row>
    <row r="2256" spans="1:10" hidden="1" x14ac:dyDescent="0.25">
      <c r="A2256" t="s">
        <v>296</v>
      </c>
      <c r="B2256" t="s">
        <v>6</v>
      </c>
      <c r="C2256" t="s">
        <v>7</v>
      </c>
      <c r="D2256" t="s">
        <v>8</v>
      </c>
      <c r="E2256" s="2">
        <v>43336.287164351852</v>
      </c>
      <c r="F2256" t="s">
        <v>585</v>
      </c>
      <c r="G2256" t="s">
        <v>318</v>
      </c>
      <c r="H2256" t="s">
        <v>451</v>
      </c>
      <c r="I2256" t="s">
        <v>494</v>
      </c>
      <c r="J2256" t="s">
        <v>495</v>
      </c>
    </row>
    <row r="2257" spans="1:10" hidden="1" x14ac:dyDescent="0.25">
      <c r="A2257" t="s">
        <v>422</v>
      </c>
      <c r="B2257" t="s">
        <v>6</v>
      </c>
      <c r="C2257" t="s">
        <v>7</v>
      </c>
      <c r="D2257" t="s">
        <v>484</v>
      </c>
      <c r="E2257" s="2">
        <v>43336.287245370368</v>
      </c>
      <c r="F2257" t="s">
        <v>591</v>
      </c>
      <c r="G2257" t="s">
        <v>318</v>
      </c>
      <c r="H2257" t="s">
        <v>445</v>
      </c>
      <c r="I2257" t="s">
        <v>554</v>
      </c>
      <c r="J2257" t="s">
        <v>497</v>
      </c>
    </row>
    <row r="2258" spans="1:10" hidden="1" x14ac:dyDescent="0.25">
      <c r="A2258" t="s">
        <v>83</v>
      </c>
      <c r="B2258" t="s">
        <v>6</v>
      </c>
      <c r="C2258" t="s">
        <v>7</v>
      </c>
      <c r="D2258" t="s">
        <v>10</v>
      </c>
      <c r="E2258" s="2">
        <v>43336.287523148145</v>
      </c>
      <c r="F2258" t="s">
        <v>590</v>
      </c>
      <c r="G2258" t="s">
        <v>430</v>
      </c>
      <c r="H2258" t="s">
        <v>438</v>
      </c>
      <c r="I2258" t="s">
        <v>513</v>
      </c>
      <c r="J2258" t="s">
        <v>513</v>
      </c>
    </row>
    <row r="2259" spans="1:10" hidden="1" x14ac:dyDescent="0.25">
      <c r="A2259" t="s">
        <v>393</v>
      </c>
      <c r="B2259" t="s">
        <v>6</v>
      </c>
      <c r="C2259" t="s">
        <v>7</v>
      </c>
      <c r="D2259" t="s">
        <v>10</v>
      </c>
      <c r="E2259" s="2">
        <v>43336.287754629629</v>
      </c>
      <c r="F2259" t="s">
        <v>586</v>
      </c>
      <c r="G2259" t="s">
        <v>318</v>
      </c>
      <c r="H2259" t="s">
        <v>451</v>
      </c>
      <c r="I2259" t="s">
        <v>490</v>
      </c>
      <c r="J2259" t="s">
        <v>491</v>
      </c>
    </row>
    <row r="2260" spans="1:10" hidden="1" x14ac:dyDescent="0.25">
      <c r="A2260" t="s">
        <v>394</v>
      </c>
      <c r="B2260" t="s">
        <v>6</v>
      </c>
      <c r="C2260" t="s">
        <v>7</v>
      </c>
      <c r="D2260" t="s">
        <v>10</v>
      </c>
      <c r="E2260" s="2">
        <v>43336.288368055553</v>
      </c>
      <c r="F2260" t="s">
        <v>586</v>
      </c>
      <c r="G2260" t="s">
        <v>318</v>
      </c>
      <c r="H2260" t="s">
        <v>452</v>
      </c>
      <c r="I2260" t="s">
        <v>490</v>
      </c>
      <c r="J2260" t="s">
        <v>491</v>
      </c>
    </row>
    <row r="2261" spans="1:10" hidden="1" x14ac:dyDescent="0.25">
      <c r="A2261" t="s">
        <v>31</v>
      </c>
      <c r="B2261" t="s">
        <v>6</v>
      </c>
      <c r="C2261" t="s">
        <v>7</v>
      </c>
      <c r="D2261" t="s">
        <v>8</v>
      </c>
      <c r="E2261" s="2">
        <v>43336.288645833331</v>
      </c>
      <c r="F2261" t="s">
        <v>585</v>
      </c>
      <c r="G2261" t="s">
        <v>318</v>
      </c>
      <c r="H2261" t="s">
        <v>452</v>
      </c>
      <c r="I2261" t="s">
        <v>494</v>
      </c>
      <c r="J2261" t="s">
        <v>495</v>
      </c>
    </row>
    <row r="2262" spans="1:10" hidden="1" x14ac:dyDescent="0.25">
      <c r="A2262" t="s">
        <v>388</v>
      </c>
      <c r="B2262" t="s">
        <v>6</v>
      </c>
      <c r="C2262" t="s">
        <v>7</v>
      </c>
      <c r="D2262" t="s">
        <v>484</v>
      </c>
      <c r="E2262" s="2">
        <v>43336.288680555554</v>
      </c>
      <c r="F2262" t="s">
        <v>591</v>
      </c>
      <c r="G2262" t="s">
        <v>318</v>
      </c>
      <c r="H2262" t="s">
        <v>446</v>
      </c>
      <c r="I2262" t="s">
        <v>554</v>
      </c>
      <c r="J2262" t="s">
        <v>497</v>
      </c>
    </row>
    <row r="2263" spans="1:10" hidden="1" x14ac:dyDescent="0.25">
      <c r="A2263" t="s">
        <v>333</v>
      </c>
      <c r="B2263" t="s">
        <v>6</v>
      </c>
      <c r="C2263" t="s">
        <v>7</v>
      </c>
      <c r="D2263" t="s">
        <v>484</v>
      </c>
      <c r="E2263" s="2">
        <v>43336.29010416667</v>
      </c>
      <c r="F2263" t="s">
        <v>591</v>
      </c>
      <c r="G2263" t="s">
        <v>318</v>
      </c>
      <c r="H2263" t="s">
        <v>447</v>
      </c>
      <c r="I2263" t="s">
        <v>554</v>
      </c>
      <c r="J2263" t="s">
        <v>497</v>
      </c>
    </row>
    <row r="2264" spans="1:10" hidden="1" x14ac:dyDescent="0.25">
      <c r="A2264" t="s">
        <v>308</v>
      </c>
      <c r="B2264" t="s">
        <v>6</v>
      </c>
      <c r="C2264" t="s">
        <v>7</v>
      </c>
      <c r="D2264" t="s">
        <v>484</v>
      </c>
      <c r="E2264" s="2">
        <v>43336.291527777779</v>
      </c>
      <c r="F2264" t="s">
        <v>591</v>
      </c>
      <c r="G2264" t="s">
        <v>318</v>
      </c>
      <c r="H2264" t="s">
        <v>448</v>
      </c>
      <c r="I2264" t="s">
        <v>554</v>
      </c>
      <c r="J2264" t="s">
        <v>497</v>
      </c>
    </row>
    <row r="2265" spans="1:10" hidden="1" x14ac:dyDescent="0.25">
      <c r="A2265" t="s">
        <v>423</v>
      </c>
      <c r="B2265" t="s">
        <v>6</v>
      </c>
      <c r="C2265" t="s">
        <v>7</v>
      </c>
      <c r="D2265" t="s">
        <v>484</v>
      </c>
      <c r="E2265" s="2">
        <v>43336.293032407404</v>
      </c>
      <c r="F2265" t="s">
        <v>591</v>
      </c>
      <c r="G2265" t="s">
        <v>318</v>
      </c>
      <c r="H2265" t="s">
        <v>449</v>
      </c>
      <c r="I2265" t="s">
        <v>554</v>
      </c>
      <c r="J2265" t="s">
        <v>497</v>
      </c>
    </row>
    <row r="2266" spans="1:10" hidden="1" x14ac:dyDescent="0.25">
      <c r="A2266" t="s">
        <v>424</v>
      </c>
      <c r="B2266" t="s">
        <v>6</v>
      </c>
      <c r="C2266" t="s">
        <v>7</v>
      </c>
      <c r="D2266" t="s">
        <v>73</v>
      </c>
      <c r="E2266" s="2">
        <v>43336.294351851851</v>
      </c>
      <c r="F2266" t="s">
        <v>591</v>
      </c>
      <c r="G2266" t="s">
        <v>318</v>
      </c>
      <c r="H2266" t="s">
        <v>450</v>
      </c>
      <c r="I2266" t="s">
        <v>554</v>
      </c>
      <c r="J2266" t="s">
        <v>497</v>
      </c>
    </row>
    <row r="2267" spans="1:10" hidden="1" x14ac:dyDescent="0.25">
      <c r="A2267" t="s">
        <v>417</v>
      </c>
      <c r="B2267" t="s">
        <v>6</v>
      </c>
      <c r="C2267" t="s">
        <v>7</v>
      </c>
      <c r="D2267" t="s">
        <v>10</v>
      </c>
      <c r="E2267" s="2">
        <v>43336.294988425929</v>
      </c>
      <c r="F2267" t="s">
        <v>591</v>
      </c>
      <c r="G2267" t="s">
        <v>318</v>
      </c>
      <c r="H2267" t="s">
        <v>451</v>
      </c>
      <c r="I2267" t="s">
        <v>490</v>
      </c>
      <c r="J2267" t="s">
        <v>497</v>
      </c>
    </row>
    <row r="2268" spans="1:10" hidden="1" x14ac:dyDescent="0.25">
      <c r="A2268" t="s">
        <v>419</v>
      </c>
      <c r="B2268" t="s">
        <v>6</v>
      </c>
      <c r="C2268" t="s">
        <v>7</v>
      </c>
      <c r="D2268" t="s">
        <v>10</v>
      </c>
      <c r="E2268" s="2">
        <v>43336.295613425929</v>
      </c>
      <c r="F2268" t="s">
        <v>591</v>
      </c>
      <c r="G2268" t="s">
        <v>318</v>
      </c>
      <c r="H2268" t="s">
        <v>452</v>
      </c>
      <c r="I2268" t="s">
        <v>490</v>
      </c>
      <c r="J2268" t="s">
        <v>497</v>
      </c>
    </row>
    <row r="2269" spans="1:10" hidden="1" x14ac:dyDescent="0.25">
      <c r="A2269" t="s">
        <v>225</v>
      </c>
      <c r="B2269" t="s">
        <v>6</v>
      </c>
      <c r="C2269" t="s">
        <v>7</v>
      </c>
      <c r="D2269" t="s">
        <v>484</v>
      </c>
      <c r="E2269" s="2">
        <v>43336.296053240738</v>
      </c>
      <c r="F2269" t="s">
        <v>298</v>
      </c>
      <c r="G2269" t="s">
        <v>323</v>
      </c>
      <c r="H2269" t="s">
        <v>435</v>
      </c>
      <c r="I2269" t="s">
        <v>492</v>
      </c>
      <c r="J2269" t="s">
        <v>493</v>
      </c>
    </row>
    <row r="2270" spans="1:10" hidden="1" x14ac:dyDescent="0.25">
      <c r="A2270" t="s">
        <v>55</v>
      </c>
      <c r="B2270" t="s">
        <v>6</v>
      </c>
      <c r="C2270" t="s">
        <v>7</v>
      </c>
      <c r="D2270" t="s">
        <v>10</v>
      </c>
      <c r="E2270" s="2">
        <v>43336.296249999999</v>
      </c>
      <c r="F2270" t="s">
        <v>299</v>
      </c>
      <c r="G2270" t="s">
        <v>385</v>
      </c>
      <c r="H2270" t="s">
        <v>452</v>
      </c>
      <c r="I2270" t="s">
        <v>558</v>
      </c>
      <c r="J2270" t="s">
        <v>562</v>
      </c>
    </row>
    <row r="2271" spans="1:10" hidden="1" x14ac:dyDescent="0.25">
      <c r="A2271" t="s">
        <v>229</v>
      </c>
      <c r="B2271" t="s">
        <v>6</v>
      </c>
      <c r="C2271" t="s">
        <v>7</v>
      </c>
      <c r="D2271" t="s">
        <v>10</v>
      </c>
      <c r="E2271" s="2">
        <v>43336.296655092592</v>
      </c>
      <c r="F2271" t="s">
        <v>298</v>
      </c>
      <c r="G2271" t="s">
        <v>323</v>
      </c>
      <c r="H2271" t="s">
        <v>436</v>
      </c>
      <c r="I2271" t="s">
        <v>492</v>
      </c>
      <c r="J2271" t="s">
        <v>493</v>
      </c>
    </row>
    <row r="2272" spans="1:10" hidden="1" x14ac:dyDescent="0.25">
      <c r="A2272" t="s">
        <v>272</v>
      </c>
      <c r="B2272" t="s">
        <v>6</v>
      </c>
      <c r="C2272" t="s">
        <v>7</v>
      </c>
      <c r="D2272" t="s">
        <v>10</v>
      </c>
      <c r="E2272" s="2">
        <v>43336.296898148146</v>
      </c>
      <c r="F2272" t="s">
        <v>300</v>
      </c>
      <c r="G2272" t="s">
        <v>454</v>
      </c>
      <c r="H2272" t="s">
        <v>431</v>
      </c>
      <c r="I2272" t="s">
        <v>494</v>
      </c>
      <c r="J2272" t="s">
        <v>582</v>
      </c>
    </row>
    <row r="2273" spans="1:10" hidden="1" x14ac:dyDescent="0.25">
      <c r="A2273" t="s">
        <v>223</v>
      </c>
      <c r="B2273" t="s">
        <v>6</v>
      </c>
      <c r="C2273" t="s">
        <v>7</v>
      </c>
      <c r="D2273" t="s">
        <v>10</v>
      </c>
      <c r="E2273" s="2">
        <v>43336.297268518516</v>
      </c>
      <c r="F2273" t="s">
        <v>298</v>
      </c>
      <c r="G2273" t="s">
        <v>323</v>
      </c>
      <c r="H2273" t="s">
        <v>437</v>
      </c>
      <c r="I2273" t="s">
        <v>509</v>
      </c>
      <c r="J2273" t="s">
        <v>510</v>
      </c>
    </row>
    <row r="2274" spans="1:10" hidden="1" x14ac:dyDescent="0.25">
      <c r="A2274" t="s">
        <v>282</v>
      </c>
      <c r="B2274" t="s">
        <v>6</v>
      </c>
      <c r="C2274" t="s">
        <v>7</v>
      </c>
      <c r="D2274" t="s">
        <v>10</v>
      </c>
      <c r="E2274" s="2">
        <v>43336.297523148147</v>
      </c>
      <c r="F2274" t="s">
        <v>300</v>
      </c>
      <c r="G2274" t="s">
        <v>454</v>
      </c>
      <c r="H2274" t="s">
        <v>432</v>
      </c>
      <c r="I2274" t="s">
        <v>494</v>
      </c>
      <c r="J2274" t="s">
        <v>582</v>
      </c>
    </row>
    <row r="2275" spans="1:10" hidden="1" x14ac:dyDescent="0.25">
      <c r="A2275" t="s">
        <v>284</v>
      </c>
      <c r="B2275" t="s">
        <v>6</v>
      </c>
      <c r="C2275" t="s">
        <v>7</v>
      </c>
      <c r="D2275" t="s">
        <v>13</v>
      </c>
      <c r="E2275" s="2">
        <v>43336.297592592593</v>
      </c>
      <c r="F2275" t="s">
        <v>303</v>
      </c>
      <c r="G2275" t="s">
        <v>431</v>
      </c>
      <c r="H2275" t="s">
        <v>427</v>
      </c>
      <c r="I2275" t="s">
        <v>494</v>
      </c>
      <c r="J2275" t="s">
        <v>544</v>
      </c>
    </row>
    <row r="2276" spans="1:10" hidden="1" x14ac:dyDescent="0.25">
      <c r="A2276" t="s">
        <v>111</v>
      </c>
      <c r="B2276" t="s">
        <v>6</v>
      </c>
      <c r="C2276" t="s">
        <v>7</v>
      </c>
      <c r="D2276" t="s">
        <v>8</v>
      </c>
      <c r="E2276" s="2">
        <v>43336.297719907408</v>
      </c>
      <c r="F2276" t="s">
        <v>299</v>
      </c>
      <c r="G2276" t="s">
        <v>385</v>
      </c>
      <c r="H2276" t="s">
        <v>318</v>
      </c>
      <c r="I2276" t="s">
        <v>492</v>
      </c>
      <c r="J2276" t="s">
        <v>493</v>
      </c>
    </row>
    <row r="2277" spans="1:10" hidden="1" x14ac:dyDescent="0.25">
      <c r="A2277" t="s">
        <v>167</v>
      </c>
      <c r="B2277" t="s">
        <v>6</v>
      </c>
      <c r="C2277" t="s">
        <v>7</v>
      </c>
      <c r="D2277" t="s">
        <v>10</v>
      </c>
      <c r="E2277" s="2">
        <v>43336.29787037037</v>
      </c>
      <c r="F2277" t="s">
        <v>298</v>
      </c>
      <c r="G2277" t="s">
        <v>323</v>
      </c>
      <c r="H2277" t="s">
        <v>438</v>
      </c>
      <c r="I2277" t="s">
        <v>492</v>
      </c>
      <c r="J2277" t="s">
        <v>493</v>
      </c>
    </row>
    <row r="2278" spans="1:10" hidden="1" x14ac:dyDescent="0.25">
      <c r="A2278" t="s">
        <v>245</v>
      </c>
      <c r="B2278" t="s">
        <v>6</v>
      </c>
      <c r="C2278" t="s">
        <v>7</v>
      </c>
      <c r="D2278" t="s">
        <v>10</v>
      </c>
      <c r="E2278" s="2">
        <v>43336.298159722224</v>
      </c>
      <c r="F2278" t="s">
        <v>300</v>
      </c>
      <c r="G2278" t="s">
        <v>454</v>
      </c>
      <c r="H2278" t="s">
        <v>433</v>
      </c>
      <c r="I2278" t="s">
        <v>494</v>
      </c>
      <c r="J2278" t="s">
        <v>582</v>
      </c>
    </row>
    <row r="2279" spans="1:10" hidden="1" x14ac:dyDescent="0.25">
      <c r="A2279" t="s">
        <v>215</v>
      </c>
      <c r="B2279" t="s">
        <v>6</v>
      </c>
      <c r="C2279" t="s">
        <v>7</v>
      </c>
      <c r="D2279" t="s">
        <v>10</v>
      </c>
      <c r="E2279" s="2">
        <v>43336.29824074074</v>
      </c>
      <c r="F2279" t="s">
        <v>303</v>
      </c>
      <c r="G2279" t="s">
        <v>431</v>
      </c>
      <c r="H2279" t="s">
        <v>428</v>
      </c>
      <c r="I2279" t="s">
        <v>494</v>
      </c>
      <c r="J2279" t="s">
        <v>501</v>
      </c>
    </row>
    <row r="2280" spans="1:10" hidden="1" x14ac:dyDescent="0.25">
      <c r="A2280" t="s">
        <v>172</v>
      </c>
      <c r="B2280" t="s">
        <v>6</v>
      </c>
      <c r="C2280" t="s">
        <v>7</v>
      </c>
      <c r="D2280" t="s">
        <v>10</v>
      </c>
      <c r="E2280" s="2">
        <v>43336.298263888886</v>
      </c>
      <c r="F2280" t="s">
        <v>585</v>
      </c>
      <c r="G2280" t="s">
        <v>318</v>
      </c>
      <c r="H2280" t="s">
        <v>318</v>
      </c>
      <c r="I2280" t="s">
        <v>494</v>
      </c>
      <c r="J2280" t="s">
        <v>501</v>
      </c>
    </row>
    <row r="2281" spans="1:10" hidden="1" x14ac:dyDescent="0.25">
      <c r="A2281" t="s">
        <v>165</v>
      </c>
      <c r="B2281" t="s">
        <v>6</v>
      </c>
      <c r="C2281" t="s">
        <v>7</v>
      </c>
      <c r="D2281" t="s">
        <v>10</v>
      </c>
      <c r="E2281" s="2">
        <v>43336.298472222225</v>
      </c>
      <c r="F2281" t="s">
        <v>298</v>
      </c>
      <c r="G2281" t="s">
        <v>323</v>
      </c>
      <c r="H2281" t="s">
        <v>439</v>
      </c>
      <c r="I2281" t="s">
        <v>492</v>
      </c>
      <c r="J2281" t="s">
        <v>493</v>
      </c>
    </row>
    <row r="2282" spans="1:10" hidden="1" x14ac:dyDescent="0.25">
      <c r="A2282" t="s">
        <v>246</v>
      </c>
      <c r="B2282" t="s">
        <v>6</v>
      </c>
      <c r="C2282" t="s">
        <v>7</v>
      </c>
      <c r="D2282" t="s">
        <v>10</v>
      </c>
      <c r="E2282" s="2">
        <v>43336.298773148148</v>
      </c>
      <c r="F2282" t="s">
        <v>300</v>
      </c>
      <c r="G2282" t="s">
        <v>454</v>
      </c>
      <c r="H2282" t="s">
        <v>434</v>
      </c>
      <c r="I2282" t="s">
        <v>494</v>
      </c>
      <c r="J2282" t="s">
        <v>582</v>
      </c>
    </row>
    <row r="2283" spans="1:10" hidden="1" x14ac:dyDescent="0.25">
      <c r="A2283" t="s">
        <v>285</v>
      </c>
      <c r="B2283" t="s">
        <v>6</v>
      </c>
      <c r="C2283" t="s">
        <v>7</v>
      </c>
      <c r="D2283" t="s">
        <v>10</v>
      </c>
      <c r="E2283" s="2">
        <v>43336.298854166664</v>
      </c>
      <c r="F2283" t="s">
        <v>303</v>
      </c>
      <c r="G2283" t="s">
        <v>431</v>
      </c>
      <c r="H2283" t="s">
        <v>429</v>
      </c>
      <c r="I2283" t="s">
        <v>494</v>
      </c>
      <c r="J2283" t="s">
        <v>501</v>
      </c>
    </row>
    <row r="2284" spans="1:10" hidden="1" x14ac:dyDescent="0.25">
      <c r="A2284" t="s">
        <v>171</v>
      </c>
      <c r="B2284" t="s">
        <v>6</v>
      </c>
      <c r="C2284" t="s">
        <v>7</v>
      </c>
      <c r="D2284" t="s">
        <v>10</v>
      </c>
      <c r="E2284" s="2">
        <v>43336.29886574074</v>
      </c>
      <c r="F2284" t="s">
        <v>585</v>
      </c>
      <c r="G2284" t="s">
        <v>318</v>
      </c>
      <c r="H2284" t="s">
        <v>323</v>
      </c>
      <c r="I2284" t="s">
        <v>494</v>
      </c>
      <c r="J2284" t="s">
        <v>501</v>
      </c>
    </row>
    <row r="2285" spans="1:10" hidden="1" x14ac:dyDescent="0.25">
      <c r="A2285" t="s">
        <v>227</v>
      </c>
      <c r="B2285" t="s">
        <v>6</v>
      </c>
      <c r="C2285" t="s">
        <v>7</v>
      </c>
      <c r="D2285" t="s">
        <v>10</v>
      </c>
      <c r="E2285" s="2">
        <v>43336.299085648148</v>
      </c>
      <c r="F2285" t="s">
        <v>298</v>
      </c>
      <c r="G2285" t="s">
        <v>323</v>
      </c>
      <c r="H2285" t="s">
        <v>440</v>
      </c>
      <c r="I2285" t="s">
        <v>492</v>
      </c>
      <c r="J2285" t="s">
        <v>493</v>
      </c>
    </row>
    <row r="2286" spans="1:10" hidden="1" x14ac:dyDescent="0.25">
      <c r="A2286" t="s">
        <v>110</v>
      </c>
      <c r="B2286" t="s">
        <v>6</v>
      </c>
      <c r="C2286" t="s">
        <v>7</v>
      </c>
      <c r="D2286" t="s">
        <v>484</v>
      </c>
      <c r="E2286" s="2">
        <v>43336.299224537041</v>
      </c>
      <c r="F2286" t="s">
        <v>299</v>
      </c>
      <c r="G2286" t="s">
        <v>385</v>
      </c>
      <c r="H2286" t="s">
        <v>323</v>
      </c>
      <c r="I2286" t="s">
        <v>492</v>
      </c>
      <c r="J2286" t="s">
        <v>493</v>
      </c>
    </row>
    <row r="2287" spans="1:10" hidden="1" x14ac:dyDescent="0.25">
      <c r="A2287" t="s">
        <v>247</v>
      </c>
      <c r="B2287" t="s">
        <v>6</v>
      </c>
      <c r="C2287" t="s">
        <v>7</v>
      </c>
      <c r="D2287" t="s">
        <v>10</v>
      </c>
      <c r="E2287" s="2">
        <v>43336.299398148149</v>
      </c>
      <c r="F2287" t="s">
        <v>300</v>
      </c>
      <c r="G2287" t="s">
        <v>454</v>
      </c>
      <c r="H2287" t="s">
        <v>435</v>
      </c>
      <c r="I2287" t="s">
        <v>494</v>
      </c>
      <c r="J2287" t="s">
        <v>582</v>
      </c>
    </row>
    <row r="2288" spans="1:10" hidden="1" x14ac:dyDescent="0.25">
      <c r="A2288" t="s">
        <v>214</v>
      </c>
      <c r="B2288" t="s">
        <v>6</v>
      </c>
      <c r="C2288" t="s">
        <v>7</v>
      </c>
      <c r="D2288" t="s">
        <v>10</v>
      </c>
      <c r="E2288" s="2">
        <v>43336.299502314818</v>
      </c>
      <c r="F2288" t="s">
        <v>303</v>
      </c>
      <c r="G2288" t="s">
        <v>431</v>
      </c>
      <c r="H2288" t="s">
        <v>430</v>
      </c>
      <c r="I2288" t="s">
        <v>494</v>
      </c>
      <c r="J2288" t="s">
        <v>501</v>
      </c>
    </row>
    <row r="2289" spans="1:10" hidden="1" x14ac:dyDescent="0.25">
      <c r="A2289" t="s">
        <v>207</v>
      </c>
      <c r="B2289" t="s">
        <v>6</v>
      </c>
      <c r="C2289" t="s">
        <v>7</v>
      </c>
      <c r="D2289" t="s">
        <v>10</v>
      </c>
      <c r="E2289" s="2">
        <v>43336.299513888887</v>
      </c>
      <c r="F2289" t="s">
        <v>585</v>
      </c>
      <c r="G2289" t="s">
        <v>318</v>
      </c>
      <c r="H2289" t="s">
        <v>385</v>
      </c>
      <c r="I2289" t="s">
        <v>494</v>
      </c>
      <c r="J2289" t="s">
        <v>501</v>
      </c>
    </row>
    <row r="2290" spans="1:10" hidden="1" x14ac:dyDescent="0.25">
      <c r="A2290" t="s">
        <v>123</v>
      </c>
      <c r="B2290" t="s">
        <v>6</v>
      </c>
      <c r="C2290" t="s">
        <v>7</v>
      </c>
      <c r="D2290" t="s">
        <v>73</v>
      </c>
      <c r="E2290" s="2">
        <v>43336.29959490741</v>
      </c>
      <c r="F2290" t="s">
        <v>590</v>
      </c>
      <c r="G2290" t="s">
        <v>431</v>
      </c>
      <c r="H2290" t="s">
        <v>439</v>
      </c>
      <c r="I2290" t="s">
        <v>513</v>
      </c>
      <c r="J2290" t="s">
        <v>513</v>
      </c>
    </row>
    <row r="2291" spans="1:10" hidden="1" x14ac:dyDescent="0.25">
      <c r="A2291" t="s">
        <v>164</v>
      </c>
      <c r="B2291" t="s">
        <v>6</v>
      </c>
      <c r="C2291" t="s">
        <v>7</v>
      </c>
      <c r="D2291" t="s">
        <v>10</v>
      </c>
      <c r="E2291" s="2">
        <v>43336.299687500003</v>
      </c>
      <c r="F2291" t="s">
        <v>298</v>
      </c>
      <c r="G2291" t="s">
        <v>323</v>
      </c>
      <c r="H2291" t="s">
        <v>441</v>
      </c>
      <c r="I2291" t="s">
        <v>492</v>
      </c>
      <c r="J2291" t="s">
        <v>493</v>
      </c>
    </row>
    <row r="2292" spans="1:10" hidden="1" x14ac:dyDescent="0.25">
      <c r="A2292" t="s">
        <v>109</v>
      </c>
      <c r="B2292" t="s">
        <v>6</v>
      </c>
      <c r="C2292" t="s">
        <v>7</v>
      </c>
      <c r="D2292" t="s">
        <v>10</v>
      </c>
      <c r="E2292" s="2">
        <v>43336.299907407411</v>
      </c>
      <c r="F2292" t="s">
        <v>299</v>
      </c>
      <c r="G2292" t="s">
        <v>385</v>
      </c>
      <c r="H2292" t="s">
        <v>385</v>
      </c>
      <c r="I2292" t="s">
        <v>533</v>
      </c>
      <c r="J2292" t="s">
        <v>543</v>
      </c>
    </row>
    <row r="2293" spans="1:10" hidden="1" x14ac:dyDescent="0.25">
      <c r="A2293" t="s">
        <v>248</v>
      </c>
      <c r="B2293" t="s">
        <v>6</v>
      </c>
      <c r="C2293" t="s">
        <v>7</v>
      </c>
      <c r="D2293" t="s">
        <v>10</v>
      </c>
      <c r="E2293" s="2">
        <v>43336.300057870372</v>
      </c>
      <c r="F2293" t="s">
        <v>300</v>
      </c>
      <c r="G2293" t="s">
        <v>454</v>
      </c>
      <c r="H2293" t="s">
        <v>436</v>
      </c>
      <c r="I2293" t="s">
        <v>494</v>
      </c>
      <c r="J2293" t="s">
        <v>582</v>
      </c>
    </row>
    <row r="2294" spans="1:10" hidden="1" x14ac:dyDescent="0.25">
      <c r="A2294" t="s">
        <v>137</v>
      </c>
      <c r="B2294" t="s">
        <v>6</v>
      </c>
      <c r="C2294" t="s">
        <v>7</v>
      </c>
      <c r="D2294" t="s">
        <v>10</v>
      </c>
      <c r="E2294" s="2">
        <v>43336.300185185188</v>
      </c>
      <c r="F2294" t="s">
        <v>585</v>
      </c>
      <c r="G2294" t="s">
        <v>318</v>
      </c>
      <c r="H2294" t="s">
        <v>457</v>
      </c>
      <c r="I2294" t="s">
        <v>494</v>
      </c>
      <c r="J2294" t="s">
        <v>501</v>
      </c>
    </row>
    <row r="2295" spans="1:10" hidden="1" x14ac:dyDescent="0.25">
      <c r="A2295" t="s">
        <v>41</v>
      </c>
      <c r="B2295" t="s">
        <v>6</v>
      </c>
      <c r="C2295" t="s">
        <v>7</v>
      </c>
      <c r="D2295" t="s">
        <v>10</v>
      </c>
      <c r="E2295" s="2">
        <v>43336.300219907411</v>
      </c>
      <c r="F2295" t="s">
        <v>590</v>
      </c>
      <c r="G2295" t="s">
        <v>431</v>
      </c>
      <c r="H2295" t="s">
        <v>440</v>
      </c>
      <c r="I2295" t="s">
        <v>513</v>
      </c>
      <c r="J2295" t="s">
        <v>513</v>
      </c>
    </row>
    <row r="2296" spans="1:10" hidden="1" x14ac:dyDescent="0.25">
      <c r="A2296" t="s">
        <v>208</v>
      </c>
      <c r="B2296" t="s">
        <v>6</v>
      </c>
      <c r="C2296" t="s">
        <v>7</v>
      </c>
      <c r="D2296" t="s">
        <v>73</v>
      </c>
      <c r="E2296" s="2">
        <v>43336.300254629627</v>
      </c>
      <c r="F2296" t="s">
        <v>591</v>
      </c>
      <c r="G2296" t="s">
        <v>318</v>
      </c>
      <c r="H2296" t="s">
        <v>318</v>
      </c>
      <c r="I2296" t="s">
        <v>497</v>
      </c>
      <c r="J2296" t="s">
        <v>497</v>
      </c>
    </row>
    <row r="2297" spans="1:10" hidden="1" x14ac:dyDescent="0.25">
      <c r="A2297" t="s">
        <v>389</v>
      </c>
      <c r="B2297" t="s">
        <v>6</v>
      </c>
      <c r="C2297" t="s">
        <v>7</v>
      </c>
      <c r="D2297" t="s">
        <v>10</v>
      </c>
      <c r="E2297" s="2">
        <v>43336.30028935185</v>
      </c>
      <c r="F2297" t="s">
        <v>586</v>
      </c>
      <c r="G2297" t="s">
        <v>318</v>
      </c>
      <c r="H2297" t="s">
        <v>318</v>
      </c>
      <c r="I2297" t="s">
        <v>490</v>
      </c>
      <c r="J2297" t="s">
        <v>497</v>
      </c>
    </row>
    <row r="2298" spans="1:10" hidden="1" x14ac:dyDescent="0.25">
      <c r="A2298" t="s">
        <v>168</v>
      </c>
      <c r="B2298" t="s">
        <v>6</v>
      </c>
      <c r="C2298" t="s">
        <v>7</v>
      </c>
      <c r="D2298" t="s">
        <v>10</v>
      </c>
      <c r="E2298" s="2">
        <v>43336.300312500003</v>
      </c>
      <c r="F2298" t="s">
        <v>298</v>
      </c>
      <c r="G2298" t="s">
        <v>323</v>
      </c>
      <c r="H2298" t="s">
        <v>442</v>
      </c>
      <c r="I2298" t="s">
        <v>492</v>
      </c>
      <c r="J2298" t="s">
        <v>500</v>
      </c>
    </row>
    <row r="2299" spans="1:10" hidden="1" x14ac:dyDescent="0.25">
      <c r="A2299" t="s">
        <v>104</v>
      </c>
      <c r="B2299" t="s">
        <v>6</v>
      </c>
      <c r="C2299" t="s">
        <v>7</v>
      </c>
      <c r="D2299" t="s">
        <v>10</v>
      </c>
      <c r="E2299" s="2">
        <v>43336.300555555557</v>
      </c>
      <c r="F2299" t="s">
        <v>299</v>
      </c>
      <c r="G2299" t="s">
        <v>385</v>
      </c>
      <c r="H2299" t="s">
        <v>457</v>
      </c>
      <c r="I2299" t="s">
        <v>533</v>
      </c>
      <c r="J2299" t="s">
        <v>543</v>
      </c>
    </row>
    <row r="2300" spans="1:10" hidden="1" x14ac:dyDescent="0.25">
      <c r="A2300" t="s">
        <v>249</v>
      </c>
      <c r="B2300" t="s">
        <v>6</v>
      </c>
      <c r="C2300" t="s">
        <v>7</v>
      </c>
      <c r="D2300" t="s">
        <v>13</v>
      </c>
      <c r="E2300" s="2">
        <v>43336.300775462965</v>
      </c>
      <c r="F2300" t="s">
        <v>300</v>
      </c>
      <c r="G2300" t="s">
        <v>454</v>
      </c>
      <c r="H2300" t="s">
        <v>437</v>
      </c>
      <c r="I2300" t="s">
        <v>494</v>
      </c>
      <c r="J2300" t="s">
        <v>583</v>
      </c>
    </row>
    <row r="2301" spans="1:10" hidden="1" x14ac:dyDescent="0.25">
      <c r="A2301" t="s">
        <v>143</v>
      </c>
      <c r="B2301" t="s">
        <v>6</v>
      </c>
      <c r="C2301" t="s">
        <v>7</v>
      </c>
      <c r="D2301" t="s">
        <v>10</v>
      </c>
      <c r="E2301" s="2">
        <v>43336.300810185188</v>
      </c>
      <c r="F2301" t="s">
        <v>585</v>
      </c>
      <c r="G2301" t="s">
        <v>318</v>
      </c>
      <c r="H2301" t="s">
        <v>458</v>
      </c>
      <c r="I2301" t="s">
        <v>494</v>
      </c>
      <c r="J2301" t="s">
        <v>501</v>
      </c>
    </row>
    <row r="2302" spans="1:10" hidden="1" x14ac:dyDescent="0.25">
      <c r="A2302" t="s">
        <v>213</v>
      </c>
      <c r="B2302" t="s">
        <v>6</v>
      </c>
      <c r="C2302" t="s">
        <v>7</v>
      </c>
      <c r="D2302" t="s">
        <v>8</v>
      </c>
      <c r="E2302" s="2">
        <v>43336.300891203704</v>
      </c>
      <c r="F2302" t="s">
        <v>303</v>
      </c>
      <c r="G2302" t="s">
        <v>431</v>
      </c>
      <c r="H2302" t="s">
        <v>431</v>
      </c>
      <c r="I2302" t="s">
        <v>494</v>
      </c>
      <c r="J2302" t="s">
        <v>501</v>
      </c>
    </row>
    <row r="2303" spans="1:10" hidden="1" x14ac:dyDescent="0.25">
      <c r="A2303" t="s">
        <v>397</v>
      </c>
      <c r="B2303" t="s">
        <v>6</v>
      </c>
      <c r="C2303" t="s">
        <v>7</v>
      </c>
      <c r="D2303" t="s">
        <v>10</v>
      </c>
      <c r="E2303" s="2">
        <v>43336.300902777781</v>
      </c>
      <c r="F2303" t="s">
        <v>586</v>
      </c>
      <c r="G2303" t="s">
        <v>318</v>
      </c>
      <c r="H2303" t="s">
        <v>323</v>
      </c>
      <c r="I2303" t="s">
        <v>490</v>
      </c>
      <c r="J2303" t="s">
        <v>491</v>
      </c>
    </row>
    <row r="2304" spans="1:10" hidden="1" x14ac:dyDescent="0.25">
      <c r="A2304" t="s">
        <v>163</v>
      </c>
      <c r="B2304" t="s">
        <v>6</v>
      </c>
      <c r="C2304" t="s">
        <v>7</v>
      </c>
      <c r="D2304" t="s">
        <v>10</v>
      </c>
      <c r="E2304" s="2">
        <v>43336.300937499997</v>
      </c>
      <c r="F2304" t="s">
        <v>298</v>
      </c>
      <c r="G2304" t="s">
        <v>323</v>
      </c>
      <c r="H2304" t="s">
        <v>443</v>
      </c>
      <c r="I2304" t="s">
        <v>492</v>
      </c>
      <c r="J2304" t="s">
        <v>493</v>
      </c>
    </row>
    <row r="2305" spans="1:10" hidden="1" x14ac:dyDescent="0.25">
      <c r="A2305" t="s">
        <v>348</v>
      </c>
      <c r="B2305" t="s">
        <v>6</v>
      </c>
      <c r="C2305" t="s">
        <v>7</v>
      </c>
      <c r="D2305" t="s">
        <v>10</v>
      </c>
      <c r="E2305" s="2">
        <v>43336.300949074073</v>
      </c>
      <c r="F2305" t="s">
        <v>587</v>
      </c>
      <c r="G2305" t="s">
        <v>460</v>
      </c>
      <c r="H2305" t="s">
        <v>436</v>
      </c>
      <c r="I2305" t="s">
        <v>573</v>
      </c>
      <c r="J2305" t="s">
        <v>491</v>
      </c>
    </row>
    <row r="2306" spans="1:10" hidden="1" x14ac:dyDescent="0.25">
      <c r="A2306" t="s">
        <v>97</v>
      </c>
      <c r="B2306" t="s">
        <v>6</v>
      </c>
      <c r="C2306" t="s">
        <v>7</v>
      </c>
      <c r="D2306" t="s">
        <v>13</v>
      </c>
      <c r="E2306" s="2">
        <v>43336.301064814812</v>
      </c>
      <c r="F2306" t="s">
        <v>591</v>
      </c>
      <c r="G2306" t="s">
        <v>318</v>
      </c>
      <c r="H2306" t="s">
        <v>323</v>
      </c>
      <c r="I2306" t="s">
        <v>497</v>
      </c>
      <c r="J2306" t="s">
        <v>497</v>
      </c>
    </row>
    <row r="2307" spans="1:10" hidden="1" x14ac:dyDescent="0.25">
      <c r="A2307" t="s">
        <v>250</v>
      </c>
      <c r="B2307" t="s">
        <v>6</v>
      </c>
      <c r="C2307" t="s">
        <v>7</v>
      </c>
      <c r="D2307" t="s">
        <v>10</v>
      </c>
      <c r="E2307" s="2">
        <v>43336.301412037035</v>
      </c>
      <c r="F2307" t="s">
        <v>300</v>
      </c>
      <c r="G2307" t="s">
        <v>454</v>
      </c>
      <c r="H2307" t="s">
        <v>438</v>
      </c>
      <c r="I2307" t="s">
        <v>494</v>
      </c>
      <c r="J2307" t="s">
        <v>583</v>
      </c>
    </row>
    <row r="2308" spans="1:10" hidden="1" x14ac:dyDescent="0.25">
      <c r="A2308" t="s">
        <v>206</v>
      </c>
      <c r="B2308" t="s">
        <v>6</v>
      </c>
      <c r="C2308" t="s">
        <v>7</v>
      </c>
      <c r="D2308" t="s">
        <v>10</v>
      </c>
      <c r="E2308" s="2">
        <v>43336.301435185182</v>
      </c>
      <c r="F2308" t="s">
        <v>585</v>
      </c>
      <c r="G2308" t="s">
        <v>318</v>
      </c>
      <c r="H2308" t="s">
        <v>459</v>
      </c>
      <c r="I2308" t="s">
        <v>494</v>
      </c>
      <c r="J2308" t="s">
        <v>501</v>
      </c>
    </row>
    <row r="2309" spans="1:10" hidden="1" x14ac:dyDescent="0.25">
      <c r="A2309" t="s">
        <v>212</v>
      </c>
      <c r="B2309" t="s">
        <v>6</v>
      </c>
      <c r="C2309" t="s">
        <v>7</v>
      </c>
      <c r="D2309" t="s">
        <v>10</v>
      </c>
      <c r="E2309" s="2">
        <v>43336.301527777781</v>
      </c>
      <c r="F2309" t="s">
        <v>303</v>
      </c>
      <c r="G2309" t="s">
        <v>431</v>
      </c>
      <c r="H2309" t="s">
        <v>432</v>
      </c>
      <c r="I2309" t="s">
        <v>494</v>
      </c>
      <c r="J2309" t="s">
        <v>501</v>
      </c>
    </row>
    <row r="2310" spans="1:10" hidden="1" x14ac:dyDescent="0.25">
      <c r="A2310" t="s">
        <v>331</v>
      </c>
      <c r="B2310" t="s">
        <v>6</v>
      </c>
      <c r="C2310" t="s">
        <v>7</v>
      </c>
      <c r="D2310" t="s">
        <v>10</v>
      </c>
      <c r="E2310" s="2">
        <v>43336.301574074074</v>
      </c>
      <c r="F2310" t="s">
        <v>587</v>
      </c>
      <c r="G2310" t="s">
        <v>460</v>
      </c>
      <c r="H2310" t="s">
        <v>437</v>
      </c>
      <c r="I2310" t="s">
        <v>574</v>
      </c>
      <c r="J2310" t="s">
        <v>491</v>
      </c>
    </row>
    <row r="2311" spans="1:10" hidden="1" x14ac:dyDescent="0.25">
      <c r="A2311" t="s">
        <v>76</v>
      </c>
      <c r="B2311" t="s">
        <v>6</v>
      </c>
      <c r="C2311" t="s">
        <v>7</v>
      </c>
      <c r="D2311" t="s">
        <v>322</v>
      </c>
      <c r="E2311" s="2">
        <v>43336.301585648151</v>
      </c>
      <c r="F2311" t="s">
        <v>590</v>
      </c>
      <c r="G2311" t="s">
        <v>431</v>
      </c>
      <c r="H2311" t="s">
        <v>441</v>
      </c>
      <c r="I2311" t="s">
        <v>507</v>
      </c>
      <c r="J2311" t="s">
        <v>507</v>
      </c>
    </row>
    <row r="2312" spans="1:10" hidden="1" x14ac:dyDescent="0.25">
      <c r="A2312" t="s">
        <v>218</v>
      </c>
      <c r="B2312" t="s">
        <v>6</v>
      </c>
      <c r="C2312" t="s">
        <v>7</v>
      </c>
      <c r="D2312" t="s">
        <v>27</v>
      </c>
      <c r="E2312" s="2">
        <v>43336.301759259259</v>
      </c>
      <c r="F2312" t="s">
        <v>298</v>
      </c>
      <c r="G2312" t="s">
        <v>323</v>
      </c>
      <c r="H2312" t="s">
        <v>444</v>
      </c>
      <c r="I2312" t="s">
        <v>492</v>
      </c>
      <c r="J2312" t="s">
        <v>493</v>
      </c>
    </row>
    <row r="2313" spans="1:10" hidden="1" x14ac:dyDescent="0.25">
      <c r="A2313" t="s">
        <v>205</v>
      </c>
      <c r="B2313" t="s">
        <v>6</v>
      </c>
      <c r="C2313" t="s">
        <v>7</v>
      </c>
      <c r="D2313" t="s">
        <v>13</v>
      </c>
      <c r="E2313" s="2">
        <v>43336.301817129628</v>
      </c>
      <c r="F2313" t="s">
        <v>591</v>
      </c>
      <c r="G2313" t="s">
        <v>318</v>
      </c>
      <c r="H2313" t="s">
        <v>385</v>
      </c>
      <c r="I2313" t="s">
        <v>497</v>
      </c>
      <c r="J2313" t="s">
        <v>497</v>
      </c>
    </row>
    <row r="2314" spans="1:10" hidden="1" x14ac:dyDescent="0.25">
      <c r="A2314" t="s">
        <v>98</v>
      </c>
      <c r="B2314" t="s">
        <v>6</v>
      </c>
      <c r="C2314" t="s">
        <v>7</v>
      </c>
      <c r="D2314" t="s">
        <v>8</v>
      </c>
      <c r="E2314" s="2">
        <v>43336.302037037036</v>
      </c>
      <c r="F2314" t="s">
        <v>299</v>
      </c>
      <c r="G2314" t="s">
        <v>385</v>
      </c>
      <c r="H2314" t="s">
        <v>458</v>
      </c>
      <c r="I2314" t="s">
        <v>545</v>
      </c>
      <c r="J2314" t="s">
        <v>497</v>
      </c>
    </row>
    <row r="2315" spans="1:10" hidden="1" x14ac:dyDescent="0.25">
      <c r="A2315" t="s">
        <v>48</v>
      </c>
      <c r="B2315" t="s">
        <v>6</v>
      </c>
      <c r="C2315" t="s">
        <v>7</v>
      </c>
      <c r="D2315" t="s">
        <v>10</v>
      </c>
      <c r="E2315" s="2">
        <v>43336.302071759259</v>
      </c>
      <c r="F2315" t="s">
        <v>585</v>
      </c>
      <c r="G2315" t="s">
        <v>318</v>
      </c>
      <c r="H2315" t="s">
        <v>460</v>
      </c>
      <c r="I2315" t="s">
        <v>494</v>
      </c>
      <c r="J2315" t="s">
        <v>501</v>
      </c>
    </row>
    <row r="2316" spans="1:10" hidden="1" x14ac:dyDescent="0.25">
      <c r="A2316" t="s">
        <v>349</v>
      </c>
      <c r="B2316" t="s">
        <v>6</v>
      </c>
      <c r="C2316" t="s">
        <v>7</v>
      </c>
      <c r="D2316" t="s">
        <v>10</v>
      </c>
      <c r="E2316" s="2">
        <v>43336.302187499998</v>
      </c>
      <c r="F2316" t="s">
        <v>587</v>
      </c>
      <c r="G2316" t="s">
        <v>460</v>
      </c>
      <c r="H2316" t="s">
        <v>438</v>
      </c>
      <c r="I2316" t="s">
        <v>575</v>
      </c>
      <c r="J2316" t="s">
        <v>491</v>
      </c>
    </row>
    <row r="2317" spans="1:10" hidden="1" x14ac:dyDescent="0.25">
      <c r="A2317" t="s">
        <v>75</v>
      </c>
      <c r="B2317" t="s">
        <v>6</v>
      </c>
      <c r="C2317" t="s">
        <v>7</v>
      </c>
      <c r="D2317" t="s">
        <v>10</v>
      </c>
      <c r="E2317" s="2">
        <v>43336.302210648151</v>
      </c>
      <c r="F2317" t="s">
        <v>590</v>
      </c>
      <c r="G2317" t="s">
        <v>431</v>
      </c>
      <c r="H2317" t="s">
        <v>442</v>
      </c>
      <c r="I2317" t="s">
        <v>504</v>
      </c>
      <c r="J2317" t="s">
        <v>504</v>
      </c>
    </row>
    <row r="2318" spans="1:10" hidden="1" x14ac:dyDescent="0.25">
      <c r="A2318" t="s">
        <v>398</v>
      </c>
      <c r="B2318" t="s">
        <v>6</v>
      </c>
      <c r="C2318" t="s">
        <v>7</v>
      </c>
      <c r="D2318" t="s">
        <v>8</v>
      </c>
      <c r="E2318" s="2">
        <v>43336.302349537036</v>
      </c>
      <c r="F2318" t="s">
        <v>586</v>
      </c>
      <c r="G2318" t="s">
        <v>318</v>
      </c>
      <c r="H2318" t="s">
        <v>385</v>
      </c>
      <c r="I2318" t="s">
        <v>490</v>
      </c>
      <c r="J2318" t="s">
        <v>491</v>
      </c>
    </row>
    <row r="2319" spans="1:10" hidden="1" x14ac:dyDescent="0.25">
      <c r="A2319" t="s">
        <v>162</v>
      </c>
      <c r="B2319" t="s">
        <v>6</v>
      </c>
      <c r="C2319" t="s">
        <v>7</v>
      </c>
      <c r="D2319" t="s">
        <v>10</v>
      </c>
      <c r="E2319" s="2">
        <v>43336.302361111113</v>
      </c>
      <c r="F2319" t="s">
        <v>298</v>
      </c>
      <c r="G2319" t="s">
        <v>323</v>
      </c>
      <c r="H2319" t="s">
        <v>445</v>
      </c>
      <c r="I2319" t="s">
        <v>492</v>
      </c>
      <c r="J2319" t="s">
        <v>493</v>
      </c>
    </row>
    <row r="2320" spans="1:10" hidden="1" x14ac:dyDescent="0.25">
      <c r="A2320" t="s">
        <v>88</v>
      </c>
      <c r="B2320" t="s">
        <v>6</v>
      </c>
      <c r="C2320" t="s">
        <v>7</v>
      </c>
      <c r="D2320" t="s">
        <v>13</v>
      </c>
      <c r="E2320" s="2">
        <v>43336.302604166667</v>
      </c>
      <c r="F2320" t="s">
        <v>591</v>
      </c>
      <c r="G2320" t="s">
        <v>318</v>
      </c>
      <c r="H2320" t="s">
        <v>457</v>
      </c>
      <c r="I2320" t="s">
        <v>497</v>
      </c>
      <c r="J2320" t="s">
        <v>497</v>
      </c>
    </row>
    <row r="2321" spans="1:10" hidden="1" x14ac:dyDescent="0.25">
      <c r="A2321" t="s">
        <v>191</v>
      </c>
      <c r="B2321" t="s">
        <v>6</v>
      </c>
      <c r="C2321" t="s">
        <v>7</v>
      </c>
      <c r="D2321" t="s">
        <v>10</v>
      </c>
      <c r="E2321" s="2">
        <v>43336.30269675926</v>
      </c>
      <c r="F2321" t="s">
        <v>585</v>
      </c>
      <c r="G2321" t="s">
        <v>318</v>
      </c>
      <c r="H2321" t="s">
        <v>461</v>
      </c>
      <c r="I2321" t="s">
        <v>494</v>
      </c>
      <c r="J2321" t="s">
        <v>501</v>
      </c>
    </row>
    <row r="2322" spans="1:10" hidden="1" x14ac:dyDescent="0.25">
      <c r="A2322" t="s">
        <v>332</v>
      </c>
      <c r="B2322" t="s">
        <v>6</v>
      </c>
      <c r="C2322" t="s">
        <v>7</v>
      </c>
      <c r="D2322" t="s">
        <v>10</v>
      </c>
      <c r="E2322" s="2">
        <v>43336.302800925929</v>
      </c>
      <c r="F2322" t="s">
        <v>587</v>
      </c>
      <c r="G2322" t="s">
        <v>460</v>
      </c>
      <c r="H2322" t="s">
        <v>439</v>
      </c>
      <c r="I2322" t="s">
        <v>577</v>
      </c>
      <c r="J2322" t="s">
        <v>491</v>
      </c>
    </row>
    <row r="2323" spans="1:10" hidden="1" x14ac:dyDescent="0.25">
      <c r="A2323" t="s">
        <v>150</v>
      </c>
      <c r="B2323" t="s">
        <v>6</v>
      </c>
      <c r="C2323" t="s">
        <v>7</v>
      </c>
      <c r="D2323" t="s">
        <v>13</v>
      </c>
      <c r="E2323" s="2">
        <v>43336.302812499998</v>
      </c>
      <c r="F2323" t="s">
        <v>299</v>
      </c>
      <c r="G2323" t="s">
        <v>385</v>
      </c>
      <c r="H2323" t="s">
        <v>459</v>
      </c>
      <c r="I2323" t="s">
        <v>545</v>
      </c>
      <c r="J2323" t="s">
        <v>497</v>
      </c>
    </row>
    <row r="2324" spans="1:10" hidden="1" x14ac:dyDescent="0.25">
      <c r="A2324" t="s">
        <v>169</v>
      </c>
      <c r="B2324" t="s">
        <v>6</v>
      </c>
      <c r="C2324" t="s">
        <v>7</v>
      </c>
      <c r="D2324" t="s">
        <v>10</v>
      </c>
      <c r="E2324" s="2">
        <v>43336.302835648145</v>
      </c>
      <c r="F2324" t="s">
        <v>590</v>
      </c>
      <c r="G2324" t="s">
        <v>431</v>
      </c>
      <c r="H2324" t="s">
        <v>443</v>
      </c>
      <c r="I2324" t="s">
        <v>498</v>
      </c>
      <c r="J2324" t="s">
        <v>498</v>
      </c>
    </row>
    <row r="2325" spans="1:10" hidden="1" x14ac:dyDescent="0.25">
      <c r="A2325" t="s">
        <v>251</v>
      </c>
      <c r="B2325" t="s">
        <v>6</v>
      </c>
      <c r="C2325" t="s">
        <v>7</v>
      </c>
      <c r="D2325" t="s">
        <v>484</v>
      </c>
      <c r="E2325" s="2">
        <v>43336.302916666667</v>
      </c>
      <c r="F2325" t="s">
        <v>300</v>
      </c>
      <c r="G2325" t="s">
        <v>454</v>
      </c>
      <c r="H2325" t="s">
        <v>439</v>
      </c>
      <c r="I2325" t="s">
        <v>494</v>
      </c>
      <c r="J2325" t="s">
        <v>583</v>
      </c>
    </row>
    <row r="2326" spans="1:10" hidden="1" x14ac:dyDescent="0.25">
      <c r="A2326" t="s">
        <v>399</v>
      </c>
      <c r="B2326" t="s">
        <v>6</v>
      </c>
      <c r="C2326" t="s">
        <v>7</v>
      </c>
      <c r="D2326" t="s">
        <v>10</v>
      </c>
      <c r="E2326" s="2">
        <v>43336.302986111114</v>
      </c>
      <c r="F2326" t="s">
        <v>586</v>
      </c>
      <c r="G2326" t="s">
        <v>318</v>
      </c>
      <c r="H2326" t="s">
        <v>457</v>
      </c>
      <c r="I2326" t="s">
        <v>490</v>
      </c>
      <c r="J2326" t="s">
        <v>491</v>
      </c>
    </row>
    <row r="2327" spans="1:10" hidden="1" x14ac:dyDescent="0.25">
      <c r="A2327" t="s">
        <v>286</v>
      </c>
      <c r="B2327" t="s">
        <v>6</v>
      </c>
      <c r="C2327" t="s">
        <v>7</v>
      </c>
      <c r="D2327" t="s">
        <v>8</v>
      </c>
      <c r="E2327" s="2">
        <v>43336.30300925926</v>
      </c>
      <c r="F2327" t="s">
        <v>303</v>
      </c>
      <c r="G2327" t="s">
        <v>431</v>
      </c>
      <c r="H2327" t="s">
        <v>433</v>
      </c>
      <c r="I2327" t="s">
        <v>494</v>
      </c>
      <c r="J2327" t="s">
        <v>501</v>
      </c>
    </row>
    <row r="2328" spans="1:10" hidden="1" x14ac:dyDescent="0.25">
      <c r="A2328" t="s">
        <v>221</v>
      </c>
      <c r="B2328" t="s">
        <v>6</v>
      </c>
      <c r="C2328" t="s">
        <v>7</v>
      </c>
      <c r="D2328" t="s">
        <v>27</v>
      </c>
      <c r="E2328" s="2">
        <v>43336.303090277775</v>
      </c>
      <c r="F2328" t="s">
        <v>298</v>
      </c>
      <c r="G2328" t="s">
        <v>323</v>
      </c>
      <c r="H2328" t="s">
        <v>446</v>
      </c>
      <c r="I2328" t="s">
        <v>492</v>
      </c>
      <c r="J2328" t="s">
        <v>493</v>
      </c>
    </row>
    <row r="2329" spans="1:10" hidden="1" x14ac:dyDescent="0.25">
      <c r="A2329" t="s">
        <v>47</v>
      </c>
      <c r="B2329" t="s">
        <v>6</v>
      </c>
      <c r="C2329" t="s">
        <v>7</v>
      </c>
      <c r="D2329" t="s">
        <v>10</v>
      </c>
      <c r="E2329" s="2">
        <v>43336.30332175926</v>
      </c>
      <c r="F2329" t="s">
        <v>585</v>
      </c>
      <c r="G2329" t="s">
        <v>318</v>
      </c>
      <c r="H2329" t="s">
        <v>462</v>
      </c>
      <c r="I2329" t="s">
        <v>494</v>
      </c>
      <c r="J2329" t="s">
        <v>501</v>
      </c>
    </row>
    <row r="2330" spans="1:10" hidden="1" x14ac:dyDescent="0.25">
      <c r="A2330" t="s">
        <v>350</v>
      </c>
      <c r="B2330" t="s">
        <v>6</v>
      </c>
      <c r="C2330" t="s">
        <v>7</v>
      </c>
      <c r="D2330" t="s">
        <v>10</v>
      </c>
      <c r="E2330" s="2">
        <v>43336.303425925929</v>
      </c>
      <c r="F2330" t="s">
        <v>587</v>
      </c>
      <c r="G2330" t="s">
        <v>460</v>
      </c>
      <c r="H2330" t="s">
        <v>440</v>
      </c>
      <c r="I2330" t="s">
        <v>576</v>
      </c>
      <c r="J2330" t="s">
        <v>491</v>
      </c>
    </row>
    <row r="2331" spans="1:10" hidden="1" x14ac:dyDescent="0.25">
      <c r="A2331" t="s">
        <v>199</v>
      </c>
      <c r="B2331" t="s">
        <v>6</v>
      </c>
      <c r="C2331" t="s">
        <v>7</v>
      </c>
      <c r="D2331" t="s">
        <v>10</v>
      </c>
      <c r="E2331" s="2">
        <v>43336.303449074076</v>
      </c>
      <c r="F2331" t="s">
        <v>590</v>
      </c>
      <c r="G2331" t="s">
        <v>431</v>
      </c>
      <c r="H2331" t="s">
        <v>444</v>
      </c>
      <c r="I2331" t="s">
        <v>498</v>
      </c>
      <c r="J2331" t="s">
        <v>498</v>
      </c>
    </row>
    <row r="2332" spans="1:10" hidden="1" x14ac:dyDescent="0.25">
      <c r="A2332" t="s">
        <v>119</v>
      </c>
      <c r="B2332" t="s">
        <v>6</v>
      </c>
      <c r="C2332" t="s">
        <v>7</v>
      </c>
      <c r="D2332" t="s">
        <v>10</v>
      </c>
      <c r="E2332" s="2">
        <v>43336.303483796299</v>
      </c>
      <c r="F2332" t="s">
        <v>299</v>
      </c>
      <c r="G2332" t="s">
        <v>385</v>
      </c>
      <c r="H2332" t="s">
        <v>460</v>
      </c>
      <c r="I2332" t="s">
        <v>545</v>
      </c>
      <c r="J2332" t="s">
        <v>497</v>
      </c>
    </row>
    <row r="2333" spans="1:10" hidden="1" x14ac:dyDescent="0.25">
      <c r="A2333" t="s">
        <v>404</v>
      </c>
      <c r="B2333" t="s">
        <v>6</v>
      </c>
      <c r="C2333" t="s">
        <v>7</v>
      </c>
      <c r="D2333" t="s">
        <v>10</v>
      </c>
      <c r="E2333" s="2">
        <v>43336.303599537037</v>
      </c>
      <c r="F2333" t="s">
        <v>586</v>
      </c>
      <c r="G2333" t="s">
        <v>318</v>
      </c>
      <c r="H2333" t="s">
        <v>458</v>
      </c>
      <c r="I2333" t="s">
        <v>490</v>
      </c>
      <c r="J2333" t="s">
        <v>491</v>
      </c>
    </row>
    <row r="2334" spans="1:10" hidden="1" x14ac:dyDescent="0.25">
      <c r="A2334" t="s">
        <v>189</v>
      </c>
      <c r="B2334" t="s">
        <v>6</v>
      </c>
      <c r="C2334" t="s">
        <v>7</v>
      </c>
      <c r="D2334" t="s">
        <v>10</v>
      </c>
      <c r="E2334" s="2">
        <v>43336.30364583333</v>
      </c>
      <c r="F2334" t="s">
        <v>303</v>
      </c>
      <c r="G2334" t="s">
        <v>431</v>
      </c>
      <c r="H2334" t="s">
        <v>434</v>
      </c>
      <c r="I2334" t="s">
        <v>494</v>
      </c>
      <c r="J2334" t="s">
        <v>501</v>
      </c>
    </row>
    <row r="2335" spans="1:10" hidden="1" x14ac:dyDescent="0.25">
      <c r="A2335" t="s">
        <v>114</v>
      </c>
      <c r="B2335" t="s">
        <v>6</v>
      </c>
      <c r="C2335" t="s">
        <v>7</v>
      </c>
      <c r="D2335" t="s">
        <v>10</v>
      </c>
      <c r="E2335" s="2">
        <v>43336.30369212963</v>
      </c>
      <c r="F2335" t="s">
        <v>298</v>
      </c>
      <c r="G2335" t="s">
        <v>323</v>
      </c>
      <c r="H2335" t="s">
        <v>447</v>
      </c>
      <c r="I2335" t="s">
        <v>492</v>
      </c>
      <c r="J2335" t="s">
        <v>493</v>
      </c>
    </row>
    <row r="2336" spans="1:10" hidden="1" x14ac:dyDescent="0.25">
      <c r="A2336" t="s">
        <v>96</v>
      </c>
      <c r="B2336" t="s">
        <v>6</v>
      </c>
      <c r="C2336" t="s">
        <v>7</v>
      </c>
      <c r="D2336" t="s">
        <v>73</v>
      </c>
      <c r="E2336" s="2">
        <v>43336.303888888891</v>
      </c>
      <c r="F2336" t="s">
        <v>591</v>
      </c>
      <c r="G2336" t="s">
        <v>318</v>
      </c>
      <c r="H2336" t="s">
        <v>458</v>
      </c>
      <c r="I2336" t="s">
        <v>497</v>
      </c>
      <c r="J2336" t="s">
        <v>497</v>
      </c>
    </row>
    <row r="2337" spans="1:10" hidden="1" x14ac:dyDescent="0.25">
      <c r="A2337" t="s">
        <v>45</v>
      </c>
      <c r="B2337" t="s">
        <v>6</v>
      </c>
      <c r="C2337" t="s">
        <v>7</v>
      </c>
      <c r="D2337" t="s">
        <v>10</v>
      </c>
      <c r="E2337" s="2">
        <v>43336.303946759261</v>
      </c>
      <c r="F2337" t="s">
        <v>585</v>
      </c>
      <c r="G2337" t="s">
        <v>318</v>
      </c>
      <c r="H2337" t="s">
        <v>453</v>
      </c>
      <c r="I2337" t="s">
        <v>494</v>
      </c>
      <c r="J2337" t="s">
        <v>501</v>
      </c>
    </row>
    <row r="2338" spans="1:10" hidden="1" x14ac:dyDescent="0.25">
      <c r="A2338" t="s">
        <v>405</v>
      </c>
      <c r="B2338" t="s">
        <v>6</v>
      </c>
      <c r="C2338" t="s">
        <v>7</v>
      </c>
      <c r="D2338" t="s">
        <v>10</v>
      </c>
      <c r="E2338" s="2">
        <v>43336.304224537038</v>
      </c>
      <c r="F2338" t="s">
        <v>586</v>
      </c>
      <c r="G2338" t="s">
        <v>318</v>
      </c>
      <c r="H2338" t="s">
        <v>459</v>
      </c>
      <c r="I2338" t="s">
        <v>490</v>
      </c>
      <c r="J2338" t="s">
        <v>491</v>
      </c>
    </row>
    <row r="2339" spans="1:10" hidden="1" x14ac:dyDescent="0.25">
      <c r="A2339" t="s">
        <v>158</v>
      </c>
      <c r="B2339" t="s">
        <v>6</v>
      </c>
      <c r="C2339" t="s">
        <v>7</v>
      </c>
      <c r="D2339" t="s">
        <v>10</v>
      </c>
      <c r="E2339" s="2">
        <v>43336.304305555554</v>
      </c>
      <c r="F2339" t="s">
        <v>298</v>
      </c>
      <c r="G2339" t="s">
        <v>323</v>
      </c>
      <c r="H2339" t="s">
        <v>448</v>
      </c>
      <c r="I2339" t="s">
        <v>492</v>
      </c>
      <c r="J2339" t="s">
        <v>493</v>
      </c>
    </row>
    <row r="2340" spans="1:10" hidden="1" x14ac:dyDescent="0.25">
      <c r="A2340" t="s">
        <v>252</v>
      </c>
      <c r="B2340" t="s">
        <v>6</v>
      </c>
      <c r="C2340" t="s">
        <v>7</v>
      </c>
      <c r="D2340" t="s">
        <v>484</v>
      </c>
      <c r="E2340" s="2">
        <v>43336.304363425923</v>
      </c>
      <c r="F2340" t="s">
        <v>300</v>
      </c>
      <c r="G2340" t="s">
        <v>454</v>
      </c>
      <c r="H2340" t="s">
        <v>440</v>
      </c>
      <c r="I2340" t="s">
        <v>494</v>
      </c>
      <c r="J2340" t="s">
        <v>583</v>
      </c>
    </row>
    <row r="2341" spans="1:10" hidden="1" x14ac:dyDescent="0.25">
      <c r="A2341" t="s">
        <v>146</v>
      </c>
      <c r="B2341" t="s">
        <v>6</v>
      </c>
      <c r="C2341" t="s">
        <v>7</v>
      </c>
      <c r="D2341" t="s">
        <v>10</v>
      </c>
      <c r="E2341" s="2">
        <v>43336.304606481484</v>
      </c>
      <c r="F2341" t="s">
        <v>585</v>
      </c>
      <c r="G2341" t="s">
        <v>318</v>
      </c>
      <c r="H2341" t="s">
        <v>454</v>
      </c>
      <c r="I2341" t="s">
        <v>494</v>
      </c>
      <c r="J2341" t="s">
        <v>501</v>
      </c>
    </row>
    <row r="2342" spans="1:10" hidden="1" x14ac:dyDescent="0.25">
      <c r="A2342" t="s">
        <v>105</v>
      </c>
      <c r="B2342" t="s">
        <v>6</v>
      </c>
      <c r="C2342" t="s">
        <v>7</v>
      </c>
      <c r="D2342" t="s">
        <v>73</v>
      </c>
      <c r="E2342" s="2">
        <v>43336.304780092592</v>
      </c>
      <c r="F2342" t="s">
        <v>299</v>
      </c>
      <c r="G2342" t="s">
        <v>385</v>
      </c>
      <c r="H2342" t="s">
        <v>461</v>
      </c>
      <c r="I2342" t="s">
        <v>545</v>
      </c>
      <c r="J2342" t="s">
        <v>497</v>
      </c>
    </row>
    <row r="2343" spans="1:10" hidden="1" x14ac:dyDescent="0.25">
      <c r="A2343" t="s">
        <v>406</v>
      </c>
      <c r="B2343" t="s">
        <v>6</v>
      </c>
      <c r="C2343" t="s">
        <v>7</v>
      </c>
      <c r="D2343" t="s">
        <v>10</v>
      </c>
      <c r="E2343" s="2">
        <v>43336.304826388892</v>
      </c>
      <c r="F2343" t="s">
        <v>586</v>
      </c>
      <c r="G2343" t="s">
        <v>318</v>
      </c>
      <c r="H2343" t="s">
        <v>460</v>
      </c>
      <c r="I2343" t="s">
        <v>490</v>
      </c>
      <c r="J2343" t="s">
        <v>491</v>
      </c>
    </row>
    <row r="2344" spans="1:10" hidden="1" x14ac:dyDescent="0.25">
      <c r="A2344" t="s">
        <v>74</v>
      </c>
      <c r="B2344" t="s">
        <v>6</v>
      </c>
      <c r="C2344" t="s">
        <v>7</v>
      </c>
      <c r="D2344" t="s">
        <v>8</v>
      </c>
      <c r="E2344" s="2">
        <v>43336.304837962962</v>
      </c>
      <c r="F2344" t="s">
        <v>590</v>
      </c>
      <c r="G2344" t="s">
        <v>431</v>
      </c>
      <c r="H2344" t="s">
        <v>445</v>
      </c>
      <c r="I2344" t="s">
        <v>498</v>
      </c>
      <c r="J2344" t="s">
        <v>498</v>
      </c>
    </row>
    <row r="2345" spans="1:10" hidden="1" x14ac:dyDescent="0.25">
      <c r="A2345" t="s">
        <v>334</v>
      </c>
      <c r="B2345" t="s">
        <v>6</v>
      </c>
      <c r="C2345" t="s">
        <v>7</v>
      </c>
      <c r="D2345" t="s">
        <v>8</v>
      </c>
      <c r="E2345" s="2">
        <v>43336.304861111108</v>
      </c>
      <c r="F2345" t="s">
        <v>587</v>
      </c>
      <c r="G2345" t="s">
        <v>460</v>
      </c>
      <c r="H2345" t="s">
        <v>441</v>
      </c>
      <c r="I2345" t="s">
        <v>578</v>
      </c>
      <c r="J2345" t="s">
        <v>491</v>
      </c>
    </row>
    <row r="2346" spans="1:10" hidden="1" x14ac:dyDescent="0.25">
      <c r="A2346" t="s">
        <v>16</v>
      </c>
      <c r="B2346" t="s">
        <v>6</v>
      </c>
      <c r="C2346" t="s">
        <v>7</v>
      </c>
      <c r="D2346" t="s">
        <v>10</v>
      </c>
      <c r="E2346" s="2">
        <v>43336.304907407408</v>
      </c>
      <c r="F2346" t="s">
        <v>298</v>
      </c>
      <c r="G2346" t="s">
        <v>323</v>
      </c>
      <c r="H2346" t="s">
        <v>449</v>
      </c>
      <c r="I2346" t="s">
        <v>492</v>
      </c>
      <c r="J2346" t="s">
        <v>493</v>
      </c>
    </row>
    <row r="2347" spans="1:10" hidden="1" x14ac:dyDescent="0.25">
      <c r="A2347" t="s">
        <v>211</v>
      </c>
      <c r="B2347" t="s">
        <v>6</v>
      </c>
      <c r="C2347" t="s">
        <v>7</v>
      </c>
      <c r="D2347" t="s">
        <v>8</v>
      </c>
      <c r="E2347" s="2">
        <v>43336.305092592593</v>
      </c>
      <c r="F2347" t="s">
        <v>303</v>
      </c>
      <c r="G2347" t="s">
        <v>431</v>
      </c>
      <c r="H2347" t="s">
        <v>435</v>
      </c>
      <c r="I2347" t="s">
        <v>494</v>
      </c>
      <c r="J2347" t="s">
        <v>501</v>
      </c>
    </row>
    <row r="2348" spans="1:10" hidden="1" x14ac:dyDescent="0.25">
      <c r="A2348" t="s">
        <v>72</v>
      </c>
      <c r="B2348" t="s">
        <v>6</v>
      </c>
      <c r="C2348" t="s">
        <v>7</v>
      </c>
      <c r="D2348" t="s">
        <v>73</v>
      </c>
      <c r="E2348" s="2">
        <v>43336.305208333331</v>
      </c>
      <c r="F2348" t="s">
        <v>591</v>
      </c>
      <c r="G2348" t="s">
        <v>318</v>
      </c>
      <c r="H2348" t="s">
        <v>459</v>
      </c>
      <c r="I2348" t="s">
        <v>497</v>
      </c>
      <c r="J2348" t="s">
        <v>497</v>
      </c>
    </row>
    <row r="2349" spans="1:10" hidden="1" x14ac:dyDescent="0.25">
      <c r="A2349" t="s">
        <v>291</v>
      </c>
      <c r="B2349" t="s">
        <v>6</v>
      </c>
      <c r="C2349" t="s">
        <v>7</v>
      </c>
      <c r="D2349" t="s">
        <v>10</v>
      </c>
      <c r="E2349" s="2">
        <v>43336.305231481485</v>
      </c>
      <c r="F2349" t="s">
        <v>585</v>
      </c>
      <c r="G2349" t="s">
        <v>318</v>
      </c>
      <c r="H2349" t="s">
        <v>455</v>
      </c>
      <c r="I2349" t="s">
        <v>494</v>
      </c>
      <c r="J2349" t="s">
        <v>501</v>
      </c>
    </row>
    <row r="2350" spans="1:10" hidden="1" x14ac:dyDescent="0.25">
      <c r="A2350" t="s">
        <v>117</v>
      </c>
      <c r="B2350" t="s">
        <v>6</v>
      </c>
      <c r="C2350" t="s">
        <v>7</v>
      </c>
      <c r="D2350" t="s">
        <v>10</v>
      </c>
      <c r="E2350" s="2">
        <v>43336.305405092593</v>
      </c>
      <c r="F2350" t="s">
        <v>299</v>
      </c>
      <c r="G2350" t="s">
        <v>385</v>
      </c>
      <c r="H2350" t="s">
        <v>462</v>
      </c>
      <c r="I2350" t="s">
        <v>492</v>
      </c>
      <c r="J2350" t="s">
        <v>547</v>
      </c>
    </row>
    <row r="2351" spans="1:10" hidden="1" x14ac:dyDescent="0.25">
      <c r="A2351" t="s">
        <v>407</v>
      </c>
      <c r="B2351" t="s">
        <v>6</v>
      </c>
      <c r="C2351" t="s">
        <v>7</v>
      </c>
      <c r="D2351" t="s">
        <v>10</v>
      </c>
      <c r="E2351" s="2">
        <v>43336.305462962962</v>
      </c>
      <c r="F2351" t="s">
        <v>586</v>
      </c>
      <c r="G2351" t="s">
        <v>318</v>
      </c>
      <c r="H2351" t="s">
        <v>461</v>
      </c>
      <c r="I2351" t="s">
        <v>490</v>
      </c>
      <c r="J2351" t="s">
        <v>491</v>
      </c>
    </row>
    <row r="2352" spans="1:10" hidden="1" x14ac:dyDescent="0.25">
      <c r="A2352" t="s">
        <v>351</v>
      </c>
      <c r="B2352" t="s">
        <v>6</v>
      </c>
      <c r="C2352" t="s">
        <v>7</v>
      </c>
      <c r="D2352" t="s">
        <v>10</v>
      </c>
      <c r="E2352" s="2">
        <v>43336.305486111109</v>
      </c>
      <c r="F2352" t="s">
        <v>587</v>
      </c>
      <c r="G2352" t="s">
        <v>460</v>
      </c>
      <c r="H2352" t="s">
        <v>442</v>
      </c>
      <c r="I2352" t="s">
        <v>580</v>
      </c>
      <c r="J2352" t="s">
        <v>491</v>
      </c>
    </row>
    <row r="2353" spans="1:10" hidden="1" x14ac:dyDescent="0.25">
      <c r="A2353" t="s">
        <v>113</v>
      </c>
      <c r="B2353" t="s">
        <v>6</v>
      </c>
      <c r="C2353" t="s">
        <v>7</v>
      </c>
      <c r="D2353" t="s">
        <v>10</v>
      </c>
      <c r="E2353" s="2">
        <v>43336.305509259262</v>
      </c>
      <c r="F2353" t="s">
        <v>298</v>
      </c>
      <c r="G2353" t="s">
        <v>323</v>
      </c>
      <c r="H2353" t="s">
        <v>450</v>
      </c>
      <c r="I2353" t="s">
        <v>492</v>
      </c>
      <c r="J2353" t="s">
        <v>493</v>
      </c>
    </row>
    <row r="2354" spans="1:10" hidden="1" x14ac:dyDescent="0.25">
      <c r="A2354" t="s">
        <v>141</v>
      </c>
      <c r="B2354" t="s">
        <v>6</v>
      </c>
      <c r="C2354" t="s">
        <v>7</v>
      </c>
      <c r="D2354" t="s">
        <v>10</v>
      </c>
      <c r="E2354" s="2">
        <v>43336.305717592593</v>
      </c>
      <c r="F2354" t="s">
        <v>303</v>
      </c>
      <c r="G2354" t="s">
        <v>431</v>
      </c>
      <c r="H2354" t="s">
        <v>436</v>
      </c>
      <c r="I2354" t="s">
        <v>494</v>
      </c>
      <c r="J2354" t="s">
        <v>501</v>
      </c>
    </row>
    <row r="2355" spans="1:10" hidden="1" x14ac:dyDescent="0.25">
      <c r="A2355" t="s">
        <v>253</v>
      </c>
      <c r="B2355" t="s">
        <v>6</v>
      </c>
      <c r="C2355" t="s">
        <v>7</v>
      </c>
      <c r="D2355" t="s">
        <v>484</v>
      </c>
      <c r="E2355" s="2">
        <v>43336.305821759262</v>
      </c>
      <c r="F2355" t="s">
        <v>300</v>
      </c>
      <c r="G2355" t="s">
        <v>454</v>
      </c>
      <c r="H2355" t="s">
        <v>441</v>
      </c>
      <c r="I2355" t="s">
        <v>494</v>
      </c>
      <c r="J2355" t="s">
        <v>583</v>
      </c>
    </row>
    <row r="2356" spans="1:10" hidden="1" x14ac:dyDescent="0.25">
      <c r="A2356" t="s">
        <v>292</v>
      </c>
      <c r="B2356" t="s">
        <v>6</v>
      </c>
      <c r="C2356" t="s">
        <v>7</v>
      </c>
      <c r="D2356" t="s">
        <v>10</v>
      </c>
      <c r="E2356" s="2">
        <v>43336.305879629632</v>
      </c>
      <c r="F2356" t="s">
        <v>585</v>
      </c>
      <c r="G2356" t="s">
        <v>318</v>
      </c>
      <c r="H2356" t="s">
        <v>456</v>
      </c>
      <c r="I2356" t="s">
        <v>494</v>
      </c>
      <c r="J2356" t="s">
        <v>501</v>
      </c>
    </row>
    <row r="2357" spans="1:10" hidden="1" x14ac:dyDescent="0.25">
      <c r="A2357" t="s">
        <v>408</v>
      </c>
      <c r="B2357" t="s">
        <v>6</v>
      </c>
      <c r="C2357" t="s">
        <v>7</v>
      </c>
      <c r="D2357" t="s">
        <v>10</v>
      </c>
      <c r="E2357" s="2">
        <v>43336.306076388886</v>
      </c>
      <c r="F2357" t="s">
        <v>586</v>
      </c>
      <c r="G2357" t="s">
        <v>318</v>
      </c>
      <c r="H2357" t="s">
        <v>462</v>
      </c>
      <c r="I2357" t="s">
        <v>490</v>
      </c>
      <c r="J2357" t="s">
        <v>491</v>
      </c>
    </row>
    <row r="2358" spans="1:10" hidden="1" x14ac:dyDescent="0.25">
      <c r="A2358" t="s">
        <v>112</v>
      </c>
      <c r="B2358" t="s">
        <v>6</v>
      </c>
      <c r="C2358" t="s">
        <v>7</v>
      </c>
      <c r="D2358" t="s">
        <v>10</v>
      </c>
      <c r="E2358" s="2">
        <v>43336.306122685186</v>
      </c>
      <c r="F2358" t="s">
        <v>298</v>
      </c>
      <c r="G2358" t="s">
        <v>323</v>
      </c>
      <c r="H2358" t="s">
        <v>451</v>
      </c>
      <c r="I2358" t="s">
        <v>492</v>
      </c>
      <c r="J2358" t="s">
        <v>493</v>
      </c>
    </row>
    <row r="2359" spans="1:10" hidden="1" x14ac:dyDescent="0.25">
      <c r="A2359" t="s">
        <v>77</v>
      </c>
      <c r="B2359" t="s">
        <v>6</v>
      </c>
      <c r="C2359" t="s">
        <v>7</v>
      </c>
      <c r="D2359" t="s">
        <v>8</v>
      </c>
      <c r="E2359" s="2">
        <v>43336.306273148148</v>
      </c>
      <c r="F2359" t="s">
        <v>590</v>
      </c>
      <c r="G2359" t="s">
        <v>431</v>
      </c>
      <c r="H2359" t="s">
        <v>446</v>
      </c>
      <c r="I2359" t="s">
        <v>498</v>
      </c>
      <c r="J2359" t="s">
        <v>498</v>
      </c>
    </row>
    <row r="2360" spans="1:10" hidden="1" x14ac:dyDescent="0.25">
      <c r="A2360" t="s">
        <v>127</v>
      </c>
      <c r="B2360" t="s">
        <v>6</v>
      </c>
      <c r="C2360" t="s">
        <v>7</v>
      </c>
      <c r="D2360" t="s">
        <v>10</v>
      </c>
      <c r="E2360" s="2">
        <v>43336.306331018517</v>
      </c>
      <c r="F2360" t="s">
        <v>303</v>
      </c>
      <c r="G2360" t="s">
        <v>431</v>
      </c>
      <c r="H2360" t="s">
        <v>437</v>
      </c>
      <c r="I2360" t="s">
        <v>494</v>
      </c>
      <c r="J2360" t="s">
        <v>501</v>
      </c>
    </row>
    <row r="2361" spans="1:10" hidden="1" x14ac:dyDescent="0.25">
      <c r="A2361" t="s">
        <v>254</v>
      </c>
      <c r="B2361" t="s">
        <v>6</v>
      </c>
      <c r="C2361" t="s">
        <v>7</v>
      </c>
      <c r="D2361" t="s">
        <v>10</v>
      </c>
      <c r="E2361" s="2">
        <v>43336.306446759256</v>
      </c>
      <c r="F2361" t="s">
        <v>300</v>
      </c>
      <c r="G2361" t="s">
        <v>454</v>
      </c>
      <c r="H2361" t="s">
        <v>442</v>
      </c>
      <c r="I2361" t="s">
        <v>494</v>
      </c>
      <c r="J2361" t="s">
        <v>583</v>
      </c>
    </row>
    <row r="2362" spans="1:10" hidden="1" x14ac:dyDescent="0.25">
      <c r="A2362" t="s">
        <v>122</v>
      </c>
      <c r="B2362" t="s">
        <v>6</v>
      </c>
      <c r="C2362" t="s">
        <v>7</v>
      </c>
      <c r="D2362" t="s">
        <v>73</v>
      </c>
      <c r="E2362" s="2">
        <v>43336.306504629632</v>
      </c>
      <c r="F2362" t="s">
        <v>591</v>
      </c>
      <c r="G2362" t="s">
        <v>318</v>
      </c>
      <c r="H2362" t="s">
        <v>460</v>
      </c>
      <c r="I2362" t="s">
        <v>497</v>
      </c>
      <c r="J2362" t="s">
        <v>497</v>
      </c>
    </row>
    <row r="2363" spans="1:10" hidden="1" x14ac:dyDescent="0.25">
      <c r="A2363" t="s">
        <v>170</v>
      </c>
      <c r="B2363" t="s">
        <v>6</v>
      </c>
      <c r="C2363" t="s">
        <v>7</v>
      </c>
      <c r="D2363" t="s">
        <v>10</v>
      </c>
      <c r="E2363" s="2">
        <v>43336.306516203702</v>
      </c>
      <c r="F2363" t="s">
        <v>585</v>
      </c>
      <c r="G2363" t="s">
        <v>318</v>
      </c>
      <c r="H2363" t="s">
        <v>426</v>
      </c>
      <c r="I2363" t="s">
        <v>494</v>
      </c>
      <c r="J2363" t="s">
        <v>501</v>
      </c>
    </row>
    <row r="2364" spans="1:10" hidden="1" x14ac:dyDescent="0.25">
      <c r="A2364" t="s">
        <v>335</v>
      </c>
      <c r="B2364" t="s">
        <v>6</v>
      </c>
      <c r="C2364" t="s">
        <v>7</v>
      </c>
      <c r="D2364" t="s">
        <v>10</v>
      </c>
      <c r="E2364" s="2">
        <v>43336.306701388887</v>
      </c>
      <c r="F2364" t="s">
        <v>586</v>
      </c>
      <c r="G2364" t="s">
        <v>318</v>
      </c>
      <c r="H2364" t="s">
        <v>453</v>
      </c>
      <c r="I2364" t="s">
        <v>490</v>
      </c>
      <c r="J2364" t="s">
        <v>491</v>
      </c>
    </row>
    <row r="2365" spans="1:10" hidden="1" x14ac:dyDescent="0.25">
      <c r="A2365" t="s">
        <v>111</v>
      </c>
      <c r="B2365" t="s">
        <v>6</v>
      </c>
      <c r="C2365" t="s">
        <v>7</v>
      </c>
      <c r="D2365" t="s">
        <v>10</v>
      </c>
      <c r="E2365" s="2">
        <v>43336.30672453704</v>
      </c>
      <c r="F2365" t="s">
        <v>298</v>
      </c>
      <c r="G2365" t="s">
        <v>323</v>
      </c>
      <c r="H2365" t="s">
        <v>452</v>
      </c>
      <c r="I2365" t="s">
        <v>492</v>
      </c>
      <c r="J2365" t="s">
        <v>493</v>
      </c>
    </row>
    <row r="2366" spans="1:10" hidden="1" x14ac:dyDescent="0.25">
      <c r="A2366" t="s">
        <v>151</v>
      </c>
      <c r="B2366" t="s">
        <v>6</v>
      </c>
      <c r="C2366" t="s">
        <v>7</v>
      </c>
      <c r="D2366" t="s">
        <v>8</v>
      </c>
      <c r="E2366" s="2">
        <v>43336.306875000002</v>
      </c>
      <c r="F2366" t="s">
        <v>299</v>
      </c>
      <c r="G2366" t="s">
        <v>385</v>
      </c>
      <c r="H2366" t="s">
        <v>453</v>
      </c>
      <c r="I2366" t="s">
        <v>492</v>
      </c>
      <c r="J2366" t="s">
        <v>546</v>
      </c>
    </row>
    <row r="2367" spans="1:10" hidden="1" x14ac:dyDescent="0.25">
      <c r="A2367" t="s">
        <v>210</v>
      </c>
      <c r="B2367" t="s">
        <v>6</v>
      </c>
      <c r="C2367" t="s">
        <v>7</v>
      </c>
      <c r="D2367" t="s">
        <v>10</v>
      </c>
      <c r="E2367" s="2">
        <v>43336.306944444441</v>
      </c>
      <c r="F2367" t="s">
        <v>303</v>
      </c>
      <c r="G2367" t="s">
        <v>431</v>
      </c>
      <c r="H2367" t="s">
        <v>438</v>
      </c>
      <c r="I2367" t="s">
        <v>494</v>
      </c>
      <c r="J2367" t="s">
        <v>501</v>
      </c>
    </row>
    <row r="2368" spans="1:10" hidden="1" x14ac:dyDescent="0.25">
      <c r="A2368" t="s">
        <v>352</v>
      </c>
      <c r="B2368" t="s">
        <v>6</v>
      </c>
      <c r="C2368" t="s">
        <v>7</v>
      </c>
      <c r="D2368" t="s">
        <v>8</v>
      </c>
      <c r="E2368" s="2">
        <v>43336.306956018518</v>
      </c>
      <c r="F2368" t="s">
        <v>587</v>
      </c>
      <c r="G2368" t="s">
        <v>460</v>
      </c>
      <c r="H2368" t="s">
        <v>443</v>
      </c>
      <c r="I2368" t="s">
        <v>579</v>
      </c>
      <c r="J2368" t="s">
        <v>491</v>
      </c>
    </row>
    <row r="2369" spans="1:10" hidden="1" x14ac:dyDescent="0.25">
      <c r="A2369" t="s">
        <v>293</v>
      </c>
      <c r="B2369" t="s">
        <v>6</v>
      </c>
      <c r="C2369" t="s">
        <v>7</v>
      </c>
      <c r="D2369" t="s">
        <v>27</v>
      </c>
      <c r="E2369" s="2">
        <v>43336.307291666664</v>
      </c>
      <c r="F2369" t="s">
        <v>585</v>
      </c>
      <c r="G2369" t="s">
        <v>318</v>
      </c>
      <c r="H2369" t="s">
        <v>427</v>
      </c>
      <c r="I2369" t="s">
        <v>494</v>
      </c>
      <c r="J2369" t="s">
        <v>501</v>
      </c>
    </row>
    <row r="2370" spans="1:10" hidden="1" x14ac:dyDescent="0.25">
      <c r="A2370" t="s">
        <v>336</v>
      </c>
      <c r="B2370" t="s">
        <v>6</v>
      </c>
      <c r="C2370" t="s">
        <v>7</v>
      </c>
      <c r="D2370" t="s">
        <v>10</v>
      </c>
      <c r="E2370" s="2">
        <v>43336.307314814818</v>
      </c>
      <c r="F2370" t="s">
        <v>586</v>
      </c>
      <c r="G2370" t="s">
        <v>318</v>
      </c>
      <c r="H2370" t="s">
        <v>454</v>
      </c>
      <c r="I2370" t="s">
        <v>490</v>
      </c>
      <c r="J2370" t="s">
        <v>491</v>
      </c>
    </row>
    <row r="2371" spans="1:10" hidden="1" x14ac:dyDescent="0.25">
      <c r="A2371" t="s">
        <v>377</v>
      </c>
      <c r="B2371" t="s">
        <v>6</v>
      </c>
      <c r="C2371" t="s">
        <v>7</v>
      </c>
      <c r="D2371" t="s">
        <v>10</v>
      </c>
      <c r="E2371" s="2">
        <v>43336.307349537034</v>
      </c>
      <c r="F2371" t="s">
        <v>298</v>
      </c>
      <c r="G2371" t="s">
        <v>323</v>
      </c>
      <c r="H2371" t="s">
        <v>318</v>
      </c>
      <c r="I2371" t="s">
        <v>581</v>
      </c>
      <c r="J2371" t="s">
        <v>581</v>
      </c>
    </row>
    <row r="2372" spans="1:10" hidden="1" x14ac:dyDescent="0.25">
      <c r="A2372" t="s">
        <v>209</v>
      </c>
      <c r="B2372" t="s">
        <v>6</v>
      </c>
      <c r="C2372" t="s">
        <v>7</v>
      </c>
      <c r="D2372" t="s">
        <v>10</v>
      </c>
      <c r="E2372" s="2">
        <v>43336.307569444441</v>
      </c>
      <c r="F2372" t="s">
        <v>303</v>
      </c>
      <c r="G2372" t="s">
        <v>431</v>
      </c>
      <c r="H2372" t="s">
        <v>439</v>
      </c>
      <c r="I2372" t="s">
        <v>494</v>
      </c>
      <c r="J2372" t="s">
        <v>501</v>
      </c>
    </row>
    <row r="2373" spans="1:10" hidden="1" x14ac:dyDescent="0.25">
      <c r="A2373" t="s">
        <v>353</v>
      </c>
      <c r="B2373" t="s">
        <v>6</v>
      </c>
      <c r="C2373" t="s">
        <v>7</v>
      </c>
      <c r="D2373" t="s">
        <v>10</v>
      </c>
      <c r="E2373" s="2">
        <v>43336.307581018518</v>
      </c>
      <c r="F2373" t="s">
        <v>587</v>
      </c>
      <c r="G2373" t="s">
        <v>460</v>
      </c>
      <c r="H2373" t="s">
        <v>444</v>
      </c>
      <c r="I2373" t="s">
        <v>588</v>
      </c>
      <c r="J2373" t="s">
        <v>491</v>
      </c>
    </row>
    <row r="2374" spans="1:10" hidden="1" x14ac:dyDescent="0.25">
      <c r="A2374" t="s">
        <v>26</v>
      </c>
      <c r="B2374" t="s">
        <v>6</v>
      </c>
      <c r="C2374" t="s">
        <v>7</v>
      </c>
      <c r="D2374" t="s">
        <v>8</v>
      </c>
      <c r="E2374" s="2">
        <v>43336.307673611111</v>
      </c>
      <c r="F2374" t="s">
        <v>590</v>
      </c>
      <c r="G2374" t="s">
        <v>431</v>
      </c>
      <c r="H2374" t="s">
        <v>447</v>
      </c>
      <c r="I2374" t="s">
        <v>498</v>
      </c>
      <c r="J2374" t="s">
        <v>498</v>
      </c>
    </row>
    <row r="2375" spans="1:10" hidden="1" x14ac:dyDescent="0.25">
      <c r="A2375" t="s">
        <v>255</v>
      </c>
      <c r="B2375" t="s">
        <v>6</v>
      </c>
      <c r="C2375" t="s">
        <v>7</v>
      </c>
      <c r="D2375" t="s">
        <v>484</v>
      </c>
      <c r="E2375" s="2">
        <v>43336.307928240742</v>
      </c>
      <c r="F2375" t="s">
        <v>300</v>
      </c>
      <c r="G2375" t="s">
        <v>454</v>
      </c>
      <c r="H2375" t="s">
        <v>443</v>
      </c>
      <c r="I2375" t="s">
        <v>494</v>
      </c>
      <c r="J2375" t="s">
        <v>583</v>
      </c>
    </row>
    <row r="2376" spans="1:10" hidden="1" x14ac:dyDescent="0.25">
      <c r="A2376" t="s">
        <v>337</v>
      </c>
      <c r="B2376" t="s">
        <v>6</v>
      </c>
      <c r="C2376" t="s">
        <v>7</v>
      </c>
      <c r="D2376" t="s">
        <v>10</v>
      </c>
      <c r="E2376" s="2">
        <v>43336.307939814818</v>
      </c>
      <c r="F2376" t="s">
        <v>586</v>
      </c>
      <c r="G2376" t="s">
        <v>318</v>
      </c>
      <c r="H2376" t="s">
        <v>455</v>
      </c>
      <c r="I2376" t="s">
        <v>490</v>
      </c>
      <c r="J2376" t="s">
        <v>491</v>
      </c>
    </row>
    <row r="2377" spans="1:10" hidden="1" x14ac:dyDescent="0.25">
      <c r="A2377" t="s">
        <v>384</v>
      </c>
      <c r="B2377" t="s">
        <v>6</v>
      </c>
      <c r="C2377" t="s">
        <v>7</v>
      </c>
      <c r="D2377" t="s">
        <v>10</v>
      </c>
      <c r="E2377" s="2">
        <v>43336.307951388888</v>
      </c>
      <c r="F2377" t="s">
        <v>298</v>
      </c>
      <c r="G2377" t="s">
        <v>323</v>
      </c>
      <c r="H2377" t="s">
        <v>323</v>
      </c>
      <c r="I2377" t="s">
        <v>581</v>
      </c>
      <c r="J2377" t="s">
        <v>581</v>
      </c>
    </row>
    <row r="2378" spans="1:10" hidden="1" x14ac:dyDescent="0.25">
      <c r="A2378" t="s">
        <v>44</v>
      </c>
      <c r="B2378" t="s">
        <v>6</v>
      </c>
      <c r="C2378" t="s">
        <v>7</v>
      </c>
      <c r="D2378" t="s">
        <v>27</v>
      </c>
      <c r="E2378" s="2">
        <v>43336.308067129627</v>
      </c>
      <c r="F2378" t="s">
        <v>585</v>
      </c>
      <c r="G2378" t="s">
        <v>318</v>
      </c>
      <c r="H2378" t="s">
        <v>428</v>
      </c>
      <c r="I2378" t="s">
        <v>494</v>
      </c>
      <c r="J2378" t="s">
        <v>501</v>
      </c>
    </row>
    <row r="2379" spans="1:10" hidden="1" x14ac:dyDescent="0.25">
      <c r="A2379" t="s">
        <v>179</v>
      </c>
      <c r="B2379" t="s">
        <v>6</v>
      </c>
      <c r="C2379" t="s">
        <v>7</v>
      </c>
      <c r="D2379" t="s">
        <v>10</v>
      </c>
      <c r="E2379" s="2">
        <v>43336.308182870373</v>
      </c>
      <c r="F2379" t="s">
        <v>303</v>
      </c>
      <c r="G2379" t="s">
        <v>431</v>
      </c>
      <c r="H2379" t="s">
        <v>440</v>
      </c>
      <c r="I2379" t="s">
        <v>494</v>
      </c>
      <c r="J2379" t="s">
        <v>501</v>
      </c>
    </row>
    <row r="2380" spans="1:10" hidden="1" x14ac:dyDescent="0.25">
      <c r="A2380" t="s">
        <v>354</v>
      </c>
      <c r="B2380" t="s">
        <v>6</v>
      </c>
      <c r="C2380" t="s">
        <v>7</v>
      </c>
      <c r="D2380" t="s">
        <v>10</v>
      </c>
      <c r="E2380" s="2">
        <v>43336.308194444442</v>
      </c>
      <c r="F2380" t="s">
        <v>587</v>
      </c>
      <c r="G2380" t="s">
        <v>460</v>
      </c>
      <c r="H2380" t="s">
        <v>445</v>
      </c>
      <c r="I2380" t="s">
        <v>539</v>
      </c>
      <c r="J2380" t="s">
        <v>491</v>
      </c>
    </row>
    <row r="2381" spans="1:10" hidden="1" x14ac:dyDescent="0.25">
      <c r="A2381" t="s">
        <v>281</v>
      </c>
      <c r="B2381" t="s">
        <v>6</v>
      </c>
      <c r="C2381" t="s">
        <v>7</v>
      </c>
      <c r="D2381" t="s">
        <v>10</v>
      </c>
      <c r="E2381" s="2">
        <v>43336.308298611111</v>
      </c>
      <c r="F2381" t="s">
        <v>590</v>
      </c>
      <c r="G2381" t="s">
        <v>431</v>
      </c>
      <c r="H2381" t="s">
        <v>448</v>
      </c>
      <c r="I2381" t="s">
        <v>499</v>
      </c>
      <c r="J2381" t="s">
        <v>497</v>
      </c>
    </row>
    <row r="2382" spans="1:10" hidden="1" x14ac:dyDescent="0.25">
      <c r="A2382" t="s">
        <v>108</v>
      </c>
      <c r="B2382" t="s">
        <v>6</v>
      </c>
      <c r="C2382" t="s">
        <v>7</v>
      </c>
      <c r="D2382" t="s">
        <v>8</v>
      </c>
      <c r="E2382" s="2">
        <v>43336.308356481481</v>
      </c>
      <c r="F2382" t="s">
        <v>299</v>
      </c>
      <c r="G2382" t="s">
        <v>385</v>
      </c>
      <c r="H2382" t="s">
        <v>454</v>
      </c>
      <c r="I2382" t="s">
        <v>492</v>
      </c>
      <c r="J2382" t="s">
        <v>546</v>
      </c>
    </row>
    <row r="2383" spans="1:10" hidden="1" x14ac:dyDescent="0.25">
      <c r="A2383" t="s">
        <v>326</v>
      </c>
      <c r="B2383" t="s">
        <v>6</v>
      </c>
      <c r="C2383" t="s">
        <v>7</v>
      </c>
      <c r="D2383" t="s">
        <v>10</v>
      </c>
      <c r="E2383" s="2">
        <v>43336.308541666665</v>
      </c>
      <c r="F2383" t="s">
        <v>298</v>
      </c>
      <c r="G2383" t="s">
        <v>323</v>
      </c>
      <c r="H2383" t="s">
        <v>385</v>
      </c>
      <c r="I2383" t="s">
        <v>581</v>
      </c>
      <c r="J2383" t="s">
        <v>581</v>
      </c>
    </row>
    <row r="2384" spans="1:10" hidden="1" x14ac:dyDescent="0.25">
      <c r="A2384" t="s">
        <v>244</v>
      </c>
      <c r="B2384" t="s">
        <v>6</v>
      </c>
      <c r="C2384" t="s">
        <v>7</v>
      </c>
      <c r="D2384" t="s">
        <v>10</v>
      </c>
      <c r="E2384" s="2">
        <v>43336.308553240742</v>
      </c>
      <c r="F2384" t="s">
        <v>300</v>
      </c>
      <c r="G2384" t="s">
        <v>454</v>
      </c>
      <c r="H2384" t="s">
        <v>444</v>
      </c>
      <c r="I2384" t="s">
        <v>494</v>
      </c>
      <c r="J2384" t="s">
        <v>583</v>
      </c>
    </row>
    <row r="2385" spans="1:10" hidden="1" x14ac:dyDescent="0.25">
      <c r="A2385" t="s">
        <v>133</v>
      </c>
      <c r="B2385" t="s">
        <v>6</v>
      </c>
      <c r="C2385" t="s">
        <v>7</v>
      </c>
      <c r="D2385" t="s">
        <v>476</v>
      </c>
      <c r="E2385" s="2">
        <v>43336.308692129627</v>
      </c>
      <c r="F2385" t="s">
        <v>585</v>
      </c>
      <c r="G2385" t="s">
        <v>318</v>
      </c>
      <c r="H2385" t="s">
        <v>429</v>
      </c>
      <c r="I2385" t="s">
        <v>494</v>
      </c>
      <c r="J2385" t="s">
        <v>501</v>
      </c>
    </row>
    <row r="2386" spans="1:10" hidden="1" x14ac:dyDescent="0.25">
      <c r="A2386" t="s">
        <v>177</v>
      </c>
      <c r="B2386" t="s">
        <v>6</v>
      </c>
      <c r="C2386" t="s">
        <v>7</v>
      </c>
      <c r="D2386" t="s">
        <v>10</v>
      </c>
      <c r="E2386" s="2">
        <v>43336.308796296296</v>
      </c>
      <c r="F2386" t="s">
        <v>303</v>
      </c>
      <c r="G2386" t="s">
        <v>431</v>
      </c>
      <c r="H2386" t="s">
        <v>441</v>
      </c>
      <c r="I2386" t="s">
        <v>494</v>
      </c>
      <c r="J2386" t="s">
        <v>501</v>
      </c>
    </row>
    <row r="2387" spans="1:10" hidden="1" x14ac:dyDescent="0.25">
      <c r="A2387" t="s">
        <v>355</v>
      </c>
      <c r="B2387" t="s">
        <v>6</v>
      </c>
      <c r="C2387" t="s">
        <v>7</v>
      </c>
      <c r="D2387" t="s">
        <v>10</v>
      </c>
      <c r="E2387" s="2">
        <v>43336.308831018519</v>
      </c>
      <c r="F2387" t="s">
        <v>587</v>
      </c>
      <c r="G2387" t="s">
        <v>460</v>
      </c>
      <c r="H2387" t="s">
        <v>446</v>
      </c>
      <c r="I2387" t="s">
        <v>538</v>
      </c>
      <c r="J2387" t="s">
        <v>491</v>
      </c>
    </row>
    <row r="2388" spans="1:10" hidden="1" x14ac:dyDescent="0.25">
      <c r="A2388" t="s">
        <v>115</v>
      </c>
      <c r="B2388" t="s">
        <v>6</v>
      </c>
      <c r="C2388" t="s">
        <v>7</v>
      </c>
      <c r="D2388" t="s">
        <v>10</v>
      </c>
      <c r="E2388" s="2">
        <v>43336.308912037035</v>
      </c>
      <c r="F2388" t="s">
        <v>590</v>
      </c>
      <c r="G2388" t="s">
        <v>431</v>
      </c>
      <c r="H2388" t="s">
        <v>449</v>
      </c>
      <c r="I2388" t="s">
        <v>499</v>
      </c>
      <c r="J2388" t="s">
        <v>497</v>
      </c>
    </row>
    <row r="2389" spans="1:10" hidden="1" x14ac:dyDescent="0.25">
      <c r="A2389" t="s">
        <v>101</v>
      </c>
      <c r="B2389" t="s">
        <v>6</v>
      </c>
      <c r="C2389" t="s">
        <v>7</v>
      </c>
      <c r="D2389" t="s">
        <v>10</v>
      </c>
      <c r="E2389" s="2">
        <v>43336.309004629627</v>
      </c>
      <c r="F2389" t="s">
        <v>299</v>
      </c>
      <c r="G2389" t="s">
        <v>385</v>
      </c>
      <c r="H2389" t="s">
        <v>455</v>
      </c>
      <c r="I2389" t="s">
        <v>492</v>
      </c>
      <c r="J2389" t="s">
        <v>546</v>
      </c>
    </row>
    <row r="2390" spans="1:10" hidden="1" x14ac:dyDescent="0.25">
      <c r="A2390" t="s">
        <v>256</v>
      </c>
      <c r="B2390" t="s">
        <v>6</v>
      </c>
      <c r="C2390" t="s">
        <v>7</v>
      </c>
      <c r="D2390" t="s">
        <v>10</v>
      </c>
      <c r="E2390" s="2">
        <v>43336.309189814812</v>
      </c>
      <c r="F2390" t="s">
        <v>300</v>
      </c>
      <c r="G2390" t="s">
        <v>454</v>
      </c>
      <c r="H2390" t="s">
        <v>445</v>
      </c>
      <c r="I2390" t="s">
        <v>494</v>
      </c>
      <c r="J2390" t="s">
        <v>583</v>
      </c>
    </row>
    <row r="2391" spans="1:10" hidden="1" x14ac:dyDescent="0.25">
      <c r="A2391" t="s">
        <v>463</v>
      </c>
      <c r="B2391" t="s">
        <v>6</v>
      </c>
      <c r="C2391" t="s">
        <v>7</v>
      </c>
      <c r="D2391" t="s">
        <v>27</v>
      </c>
      <c r="E2391" s="2">
        <v>43336.309270833335</v>
      </c>
      <c r="F2391" t="s">
        <v>298</v>
      </c>
      <c r="G2391" t="s">
        <v>323</v>
      </c>
      <c r="H2391" t="s">
        <v>457</v>
      </c>
      <c r="I2391" t="s">
        <v>581</v>
      </c>
      <c r="J2391" t="s">
        <v>581</v>
      </c>
    </row>
    <row r="2392" spans="1:10" hidden="1" x14ac:dyDescent="0.25">
      <c r="A2392" t="s">
        <v>124</v>
      </c>
      <c r="B2392" t="s">
        <v>6</v>
      </c>
      <c r="C2392" t="s">
        <v>7</v>
      </c>
      <c r="D2392" t="s">
        <v>10</v>
      </c>
      <c r="E2392" s="2">
        <v>43336.309305555558</v>
      </c>
      <c r="F2392" t="s">
        <v>585</v>
      </c>
      <c r="G2392" t="s">
        <v>318</v>
      </c>
      <c r="H2392" t="s">
        <v>430</v>
      </c>
      <c r="I2392" t="s">
        <v>494</v>
      </c>
      <c r="J2392" t="s">
        <v>501</v>
      </c>
    </row>
    <row r="2393" spans="1:10" hidden="1" x14ac:dyDescent="0.25">
      <c r="A2393" t="s">
        <v>338</v>
      </c>
      <c r="B2393" t="s">
        <v>6</v>
      </c>
      <c r="C2393" t="s">
        <v>7</v>
      </c>
      <c r="D2393" t="s">
        <v>8</v>
      </c>
      <c r="E2393" s="2">
        <v>43336.309386574074</v>
      </c>
      <c r="F2393" t="s">
        <v>586</v>
      </c>
      <c r="G2393" t="s">
        <v>318</v>
      </c>
      <c r="H2393" t="s">
        <v>456</v>
      </c>
      <c r="I2393" t="s">
        <v>490</v>
      </c>
      <c r="J2393" t="s">
        <v>491</v>
      </c>
    </row>
    <row r="2394" spans="1:10" hidden="1" x14ac:dyDescent="0.25">
      <c r="A2394" t="s">
        <v>357</v>
      </c>
      <c r="B2394" t="s">
        <v>6</v>
      </c>
      <c r="C2394" t="s">
        <v>7</v>
      </c>
      <c r="D2394" t="s">
        <v>10</v>
      </c>
      <c r="E2394" s="2">
        <v>43336.309444444443</v>
      </c>
      <c r="F2394" t="s">
        <v>587</v>
      </c>
      <c r="G2394" t="s">
        <v>460</v>
      </c>
      <c r="H2394" t="s">
        <v>447</v>
      </c>
      <c r="I2394" t="s">
        <v>536</v>
      </c>
      <c r="J2394" t="s">
        <v>491</v>
      </c>
    </row>
    <row r="2395" spans="1:10" hidden="1" x14ac:dyDescent="0.25">
      <c r="A2395" t="s">
        <v>186</v>
      </c>
      <c r="B2395" t="s">
        <v>6</v>
      </c>
      <c r="C2395" t="s">
        <v>7</v>
      </c>
      <c r="D2395" t="s">
        <v>476</v>
      </c>
      <c r="E2395" s="2">
        <v>43336.309525462966</v>
      </c>
      <c r="F2395" t="s">
        <v>590</v>
      </c>
      <c r="G2395" t="s">
        <v>431</v>
      </c>
      <c r="H2395" t="s">
        <v>450</v>
      </c>
      <c r="I2395" t="s">
        <v>496</v>
      </c>
      <c r="J2395" t="s">
        <v>497</v>
      </c>
    </row>
    <row r="2396" spans="1:10" hidden="1" x14ac:dyDescent="0.25">
      <c r="A2396" t="s">
        <v>204</v>
      </c>
      <c r="B2396" t="s">
        <v>6</v>
      </c>
      <c r="C2396" t="s">
        <v>7</v>
      </c>
      <c r="D2396" t="s">
        <v>10</v>
      </c>
      <c r="E2396" s="2">
        <v>43336.309664351851</v>
      </c>
      <c r="F2396" t="s">
        <v>299</v>
      </c>
      <c r="G2396" t="s">
        <v>385</v>
      </c>
      <c r="H2396" t="s">
        <v>456</v>
      </c>
      <c r="I2396" t="s">
        <v>492</v>
      </c>
      <c r="J2396" t="s">
        <v>546</v>
      </c>
    </row>
    <row r="2397" spans="1:10" hidden="1" x14ac:dyDescent="0.25">
      <c r="A2397" t="s">
        <v>257</v>
      </c>
      <c r="B2397" t="s">
        <v>6</v>
      </c>
      <c r="C2397" t="s">
        <v>7</v>
      </c>
      <c r="D2397" t="s">
        <v>10</v>
      </c>
      <c r="E2397" s="2">
        <v>43336.309814814813</v>
      </c>
      <c r="F2397" t="s">
        <v>300</v>
      </c>
      <c r="G2397" t="s">
        <v>454</v>
      </c>
      <c r="H2397" t="s">
        <v>446</v>
      </c>
      <c r="I2397" t="s">
        <v>584</v>
      </c>
      <c r="J2397" t="s">
        <v>584</v>
      </c>
    </row>
    <row r="2398" spans="1:10" hidden="1" x14ac:dyDescent="0.25">
      <c r="A2398" t="s">
        <v>464</v>
      </c>
      <c r="B2398" t="s">
        <v>6</v>
      </c>
      <c r="C2398" t="s">
        <v>7</v>
      </c>
      <c r="D2398" t="s">
        <v>10</v>
      </c>
      <c r="E2398" s="2">
        <v>43336.309884259259</v>
      </c>
      <c r="F2398" t="s">
        <v>298</v>
      </c>
      <c r="G2398" t="s">
        <v>323</v>
      </c>
      <c r="H2398" t="s">
        <v>458</v>
      </c>
      <c r="I2398" t="s">
        <v>581</v>
      </c>
      <c r="J2398" t="s">
        <v>581</v>
      </c>
    </row>
    <row r="2399" spans="1:10" hidden="1" x14ac:dyDescent="0.25">
      <c r="A2399" t="s">
        <v>43</v>
      </c>
      <c r="B2399" t="s">
        <v>6</v>
      </c>
      <c r="C2399" t="s">
        <v>7</v>
      </c>
      <c r="D2399" t="s">
        <v>10</v>
      </c>
      <c r="E2399" s="2">
        <v>43336.309918981482</v>
      </c>
      <c r="F2399" t="s">
        <v>585</v>
      </c>
      <c r="G2399" t="s">
        <v>318</v>
      </c>
      <c r="H2399" t="s">
        <v>431</v>
      </c>
      <c r="I2399" t="s">
        <v>494</v>
      </c>
      <c r="J2399" t="s">
        <v>501</v>
      </c>
    </row>
    <row r="2400" spans="1:10" hidden="1" x14ac:dyDescent="0.25">
      <c r="A2400" t="s">
        <v>358</v>
      </c>
      <c r="B2400" t="s">
        <v>6</v>
      </c>
      <c r="C2400" t="s">
        <v>7</v>
      </c>
      <c r="D2400" t="s">
        <v>10</v>
      </c>
      <c r="E2400" s="2">
        <v>43336.310069444444</v>
      </c>
      <c r="F2400" t="s">
        <v>587</v>
      </c>
      <c r="G2400" t="s">
        <v>460</v>
      </c>
      <c r="H2400" t="s">
        <v>448</v>
      </c>
      <c r="I2400" t="s">
        <v>534</v>
      </c>
      <c r="J2400" t="s">
        <v>520</v>
      </c>
    </row>
    <row r="2401" spans="1:10" hidden="1" x14ac:dyDescent="0.25">
      <c r="A2401" t="s">
        <v>46</v>
      </c>
      <c r="B2401" t="s">
        <v>6</v>
      </c>
      <c r="C2401" t="s">
        <v>7</v>
      </c>
      <c r="D2401" t="s">
        <v>476</v>
      </c>
      <c r="E2401" s="2">
        <v>43336.310127314813</v>
      </c>
      <c r="F2401" t="s">
        <v>590</v>
      </c>
      <c r="G2401" t="s">
        <v>431</v>
      </c>
      <c r="H2401" t="s">
        <v>451</v>
      </c>
      <c r="I2401" t="s">
        <v>497</v>
      </c>
      <c r="J2401" t="s">
        <v>497</v>
      </c>
    </row>
    <row r="2402" spans="1:10" hidden="1" x14ac:dyDescent="0.25">
      <c r="A2402" t="s">
        <v>287</v>
      </c>
      <c r="B2402" t="s">
        <v>6</v>
      </c>
      <c r="C2402" t="s">
        <v>7</v>
      </c>
      <c r="D2402" t="s">
        <v>8</v>
      </c>
      <c r="E2402" s="2">
        <v>43336.310243055559</v>
      </c>
      <c r="F2402" t="s">
        <v>303</v>
      </c>
      <c r="G2402" t="s">
        <v>431</v>
      </c>
      <c r="H2402" t="s">
        <v>442</v>
      </c>
      <c r="I2402" t="s">
        <v>494</v>
      </c>
      <c r="J2402" t="s">
        <v>501</v>
      </c>
    </row>
    <row r="2403" spans="1:10" hidden="1" x14ac:dyDescent="0.25">
      <c r="A2403" t="s">
        <v>118</v>
      </c>
      <c r="B2403" t="s">
        <v>6</v>
      </c>
      <c r="C2403" t="s">
        <v>7</v>
      </c>
      <c r="D2403" t="s">
        <v>10</v>
      </c>
      <c r="E2403" s="2">
        <v>43336.310289351852</v>
      </c>
      <c r="F2403" t="s">
        <v>299</v>
      </c>
      <c r="G2403" t="s">
        <v>385</v>
      </c>
      <c r="H2403" t="s">
        <v>426</v>
      </c>
      <c r="I2403" t="s">
        <v>492</v>
      </c>
      <c r="J2403" t="s">
        <v>546</v>
      </c>
    </row>
    <row r="2404" spans="1:10" hidden="1" x14ac:dyDescent="0.25">
      <c r="A2404" t="s">
        <v>263</v>
      </c>
      <c r="B2404" t="s">
        <v>6</v>
      </c>
      <c r="C2404" t="s">
        <v>7</v>
      </c>
      <c r="D2404" t="s">
        <v>10</v>
      </c>
      <c r="E2404" s="2">
        <v>43336.31046296296</v>
      </c>
      <c r="F2404" t="s">
        <v>300</v>
      </c>
      <c r="G2404" t="s">
        <v>454</v>
      </c>
      <c r="H2404" t="s">
        <v>447</v>
      </c>
      <c r="I2404" t="s">
        <v>584</v>
      </c>
      <c r="J2404" t="s">
        <v>584</v>
      </c>
    </row>
    <row r="2405" spans="1:10" hidden="1" x14ac:dyDescent="0.25">
      <c r="A2405" t="s">
        <v>482</v>
      </c>
      <c r="B2405" t="s">
        <v>6</v>
      </c>
      <c r="C2405" t="s">
        <v>7</v>
      </c>
      <c r="D2405" t="s">
        <v>10</v>
      </c>
      <c r="E2405" s="2">
        <v>43336.31050925926</v>
      </c>
      <c r="F2405" t="s">
        <v>298</v>
      </c>
      <c r="G2405" t="s">
        <v>323</v>
      </c>
      <c r="H2405" t="s">
        <v>459</v>
      </c>
      <c r="I2405" t="s">
        <v>581</v>
      </c>
      <c r="J2405" t="s">
        <v>581</v>
      </c>
    </row>
    <row r="2406" spans="1:10" hidden="1" x14ac:dyDescent="0.25">
      <c r="A2406" t="s">
        <v>42</v>
      </c>
      <c r="B2406" t="s">
        <v>6</v>
      </c>
      <c r="C2406" t="s">
        <v>7</v>
      </c>
      <c r="D2406" t="s">
        <v>10</v>
      </c>
      <c r="E2406" s="2">
        <v>43336.310555555552</v>
      </c>
      <c r="F2406" t="s">
        <v>585</v>
      </c>
      <c r="G2406" t="s">
        <v>318</v>
      </c>
      <c r="H2406" t="s">
        <v>432</v>
      </c>
      <c r="I2406" t="s">
        <v>494</v>
      </c>
      <c r="J2406" t="s">
        <v>501</v>
      </c>
    </row>
    <row r="2407" spans="1:10" hidden="1" x14ac:dyDescent="0.25">
      <c r="A2407" t="s">
        <v>339</v>
      </c>
      <c r="B2407" t="s">
        <v>6</v>
      </c>
      <c r="C2407" t="s">
        <v>7</v>
      </c>
      <c r="D2407" t="s">
        <v>322</v>
      </c>
      <c r="E2407" s="2">
        <v>43336.310844907406</v>
      </c>
      <c r="F2407" t="s">
        <v>586</v>
      </c>
      <c r="G2407" t="s">
        <v>318</v>
      </c>
      <c r="H2407" t="s">
        <v>426</v>
      </c>
      <c r="I2407" t="s">
        <v>490</v>
      </c>
      <c r="J2407" t="s">
        <v>491</v>
      </c>
    </row>
    <row r="2408" spans="1:10" hidden="1" x14ac:dyDescent="0.25">
      <c r="A2408" t="s">
        <v>185</v>
      </c>
      <c r="B2408" t="s">
        <v>6</v>
      </c>
      <c r="C2408" t="s">
        <v>7</v>
      </c>
      <c r="D2408" t="s">
        <v>10</v>
      </c>
      <c r="E2408" s="2">
        <v>43336.310879629629</v>
      </c>
      <c r="F2408" t="s">
        <v>303</v>
      </c>
      <c r="G2408" t="s">
        <v>431</v>
      </c>
      <c r="H2408" t="s">
        <v>443</v>
      </c>
      <c r="I2408" t="s">
        <v>494</v>
      </c>
      <c r="J2408" t="s">
        <v>501</v>
      </c>
    </row>
    <row r="2409" spans="1:10" hidden="1" x14ac:dyDescent="0.25">
      <c r="A2409" t="s">
        <v>79</v>
      </c>
      <c r="B2409" t="s">
        <v>6</v>
      </c>
      <c r="C2409" t="s">
        <v>7</v>
      </c>
      <c r="D2409" t="s">
        <v>10</v>
      </c>
      <c r="E2409" s="2">
        <v>43336.310925925929</v>
      </c>
      <c r="F2409" t="s">
        <v>299</v>
      </c>
      <c r="G2409" t="s">
        <v>385</v>
      </c>
      <c r="H2409" t="s">
        <v>427</v>
      </c>
      <c r="I2409" t="s">
        <v>492</v>
      </c>
      <c r="J2409" t="s">
        <v>546</v>
      </c>
    </row>
    <row r="2410" spans="1:10" hidden="1" x14ac:dyDescent="0.25">
      <c r="A2410" t="s">
        <v>264</v>
      </c>
      <c r="B2410" t="s">
        <v>6</v>
      </c>
      <c r="C2410" t="s">
        <v>7</v>
      </c>
      <c r="D2410" t="s">
        <v>10</v>
      </c>
      <c r="E2410" s="2">
        <v>43336.311076388891</v>
      </c>
      <c r="F2410" t="s">
        <v>300</v>
      </c>
      <c r="G2410" t="s">
        <v>454</v>
      </c>
      <c r="H2410" t="s">
        <v>448</v>
      </c>
      <c r="I2410" t="s">
        <v>584</v>
      </c>
      <c r="J2410" t="s">
        <v>584</v>
      </c>
    </row>
    <row r="2411" spans="1:10" hidden="1" x14ac:dyDescent="0.25">
      <c r="A2411" t="s">
        <v>479</v>
      </c>
      <c r="B2411" t="s">
        <v>6</v>
      </c>
      <c r="C2411" t="s">
        <v>7</v>
      </c>
      <c r="D2411" t="s">
        <v>10</v>
      </c>
      <c r="E2411" s="2">
        <v>43336.311145833337</v>
      </c>
      <c r="F2411" t="s">
        <v>298</v>
      </c>
      <c r="G2411" t="s">
        <v>323</v>
      </c>
      <c r="H2411" t="s">
        <v>460</v>
      </c>
      <c r="I2411" t="s">
        <v>581</v>
      </c>
      <c r="J2411" t="s">
        <v>581</v>
      </c>
    </row>
    <row r="2412" spans="1:10" hidden="1" x14ac:dyDescent="0.25">
      <c r="A2412" t="s">
        <v>234</v>
      </c>
      <c r="B2412" t="s">
        <v>6</v>
      </c>
      <c r="C2412" t="s">
        <v>7</v>
      </c>
      <c r="D2412" t="s">
        <v>10</v>
      </c>
      <c r="E2412" s="2">
        <v>43336.311192129629</v>
      </c>
      <c r="F2412" t="s">
        <v>585</v>
      </c>
      <c r="G2412" t="s">
        <v>318</v>
      </c>
      <c r="H2412" t="s">
        <v>433</v>
      </c>
      <c r="I2412" t="s">
        <v>494</v>
      </c>
      <c r="J2412" t="s">
        <v>501</v>
      </c>
    </row>
    <row r="2413" spans="1:10" hidden="1" x14ac:dyDescent="0.25">
      <c r="A2413" t="s">
        <v>382</v>
      </c>
      <c r="B2413" t="s">
        <v>6</v>
      </c>
      <c r="C2413" t="s">
        <v>7</v>
      </c>
      <c r="D2413" t="s">
        <v>73</v>
      </c>
      <c r="E2413" s="2">
        <v>43336.311354166668</v>
      </c>
      <c r="F2413" t="s">
        <v>587</v>
      </c>
      <c r="G2413" t="s">
        <v>460</v>
      </c>
      <c r="H2413" t="s">
        <v>449</v>
      </c>
      <c r="I2413" t="s">
        <v>531</v>
      </c>
      <c r="J2413" t="s">
        <v>520</v>
      </c>
    </row>
    <row r="2414" spans="1:10" hidden="1" x14ac:dyDescent="0.25">
      <c r="A2414" t="s">
        <v>309</v>
      </c>
      <c r="B2414" t="s">
        <v>6</v>
      </c>
      <c r="C2414" t="s">
        <v>7</v>
      </c>
      <c r="D2414" t="s">
        <v>10</v>
      </c>
      <c r="E2414" s="2">
        <v>43336.31145833333</v>
      </c>
      <c r="F2414" t="s">
        <v>586</v>
      </c>
      <c r="G2414" t="s">
        <v>318</v>
      </c>
      <c r="H2414" t="s">
        <v>427</v>
      </c>
      <c r="I2414" t="s">
        <v>490</v>
      </c>
      <c r="J2414" t="s">
        <v>491</v>
      </c>
    </row>
    <row r="2415" spans="1:10" hidden="1" x14ac:dyDescent="0.25">
      <c r="A2415" t="s">
        <v>175</v>
      </c>
      <c r="B2415" t="s">
        <v>6</v>
      </c>
      <c r="C2415" t="s">
        <v>7</v>
      </c>
      <c r="D2415" t="s">
        <v>10</v>
      </c>
      <c r="E2415" s="2">
        <v>43336.311516203707</v>
      </c>
      <c r="F2415" t="s">
        <v>303</v>
      </c>
      <c r="G2415" t="s">
        <v>431</v>
      </c>
      <c r="H2415" t="s">
        <v>444</v>
      </c>
      <c r="I2415" t="s">
        <v>494</v>
      </c>
      <c r="J2415" t="s">
        <v>501</v>
      </c>
    </row>
    <row r="2416" spans="1:10" hidden="1" x14ac:dyDescent="0.25">
      <c r="A2416" t="s">
        <v>103</v>
      </c>
      <c r="B2416" t="s">
        <v>6</v>
      </c>
      <c r="C2416" t="s">
        <v>7</v>
      </c>
      <c r="D2416" t="s">
        <v>10</v>
      </c>
      <c r="E2416" s="2">
        <v>43336.311574074076</v>
      </c>
      <c r="F2416" t="s">
        <v>299</v>
      </c>
      <c r="G2416" t="s">
        <v>385</v>
      </c>
      <c r="H2416" t="s">
        <v>428</v>
      </c>
      <c r="I2416" t="s">
        <v>492</v>
      </c>
      <c r="J2416" t="s">
        <v>546</v>
      </c>
    </row>
    <row r="2417" spans="1:10" hidden="1" x14ac:dyDescent="0.25">
      <c r="A2417" t="s">
        <v>265</v>
      </c>
      <c r="B2417" t="s">
        <v>6</v>
      </c>
      <c r="C2417" t="s">
        <v>7</v>
      </c>
      <c r="D2417" t="s">
        <v>10</v>
      </c>
      <c r="E2417" s="2">
        <v>43336.311678240738</v>
      </c>
      <c r="F2417" t="s">
        <v>300</v>
      </c>
      <c r="G2417" t="s">
        <v>454</v>
      </c>
      <c r="H2417" t="s">
        <v>449</v>
      </c>
      <c r="I2417" t="s">
        <v>584</v>
      </c>
      <c r="J2417" t="s">
        <v>584</v>
      </c>
    </row>
    <row r="2418" spans="1:10" hidden="1" x14ac:dyDescent="0.25">
      <c r="A2418" t="s">
        <v>294</v>
      </c>
      <c r="B2418" t="s">
        <v>6</v>
      </c>
      <c r="C2418" t="s">
        <v>7</v>
      </c>
      <c r="D2418" t="s">
        <v>10</v>
      </c>
      <c r="E2418" s="2">
        <v>43336.31181712963</v>
      </c>
      <c r="F2418" t="s">
        <v>585</v>
      </c>
      <c r="G2418" t="s">
        <v>318</v>
      </c>
      <c r="H2418" t="s">
        <v>434</v>
      </c>
      <c r="I2418" t="s">
        <v>494</v>
      </c>
      <c r="J2418" t="s">
        <v>501</v>
      </c>
    </row>
    <row r="2419" spans="1:10" hidden="1" x14ac:dyDescent="0.25">
      <c r="A2419" t="s">
        <v>381</v>
      </c>
      <c r="B2419" t="s">
        <v>6</v>
      </c>
      <c r="C2419" t="s">
        <v>7</v>
      </c>
      <c r="D2419" t="s">
        <v>476</v>
      </c>
      <c r="E2419" s="2">
        <v>43336.311932870369</v>
      </c>
      <c r="F2419" t="s">
        <v>298</v>
      </c>
      <c r="G2419" t="s">
        <v>323</v>
      </c>
      <c r="H2419" t="s">
        <v>461</v>
      </c>
      <c r="I2419" t="s">
        <v>581</v>
      </c>
      <c r="J2419" t="s">
        <v>581</v>
      </c>
    </row>
    <row r="2420" spans="1:10" hidden="1" x14ac:dyDescent="0.25">
      <c r="A2420" t="s">
        <v>288</v>
      </c>
      <c r="B2420" t="s">
        <v>6</v>
      </c>
      <c r="C2420" t="s">
        <v>7</v>
      </c>
      <c r="D2420" t="s">
        <v>10</v>
      </c>
      <c r="E2420" s="2">
        <v>43336.312141203707</v>
      </c>
      <c r="F2420" t="s">
        <v>303</v>
      </c>
      <c r="G2420" t="s">
        <v>431</v>
      </c>
      <c r="H2420" t="s">
        <v>445</v>
      </c>
      <c r="I2420" t="s">
        <v>494</v>
      </c>
      <c r="J2420" t="s">
        <v>501</v>
      </c>
    </row>
    <row r="2421" spans="1:10" hidden="1" x14ac:dyDescent="0.25">
      <c r="A2421" t="s">
        <v>82</v>
      </c>
      <c r="B2421" t="s">
        <v>6</v>
      </c>
      <c r="C2421" t="s">
        <v>7</v>
      </c>
      <c r="D2421" t="s">
        <v>10</v>
      </c>
      <c r="E2421" s="2">
        <v>43336.312222222223</v>
      </c>
      <c r="F2421" t="s">
        <v>299</v>
      </c>
      <c r="G2421" t="s">
        <v>385</v>
      </c>
      <c r="H2421" t="s">
        <v>429</v>
      </c>
      <c r="I2421" t="s">
        <v>492</v>
      </c>
      <c r="J2421" t="s">
        <v>546</v>
      </c>
    </row>
    <row r="2422" spans="1:10" hidden="1" x14ac:dyDescent="0.25">
      <c r="A2422" t="s">
        <v>266</v>
      </c>
      <c r="B2422" t="s">
        <v>6</v>
      </c>
      <c r="C2422" t="s">
        <v>7</v>
      </c>
      <c r="D2422" t="s">
        <v>10</v>
      </c>
      <c r="E2422" s="2">
        <v>43336.312303240738</v>
      </c>
      <c r="F2422" t="s">
        <v>300</v>
      </c>
      <c r="G2422" t="s">
        <v>454</v>
      </c>
      <c r="H2422" t="s">
        <v>450</v>
      </c>
      <c r="I2422" t="s">
        <v>584</v>
      </c>
      <c r="J2422" t="s">
        <v>584</v>
      </c>
    </row>
    <row r="2423" spans="1:10" hidden="1" x14ac:dyDescent="0.25">
      <c r="A2423" t="s">
        <v>295</v>
      </c>
      <c r="B2423" t="s">
        <v>6</v>
      </c>
      <c r="C2423" t="s">
        <v>7</v>
      </c>
      <c r="D2423" t="s">
        <v>10</v>
      </c>
      <c r="E2423" s="2">
        <v>43336.312465277777</v>
      </c>
      <c r="F2423" t="s">
        <v>585</v>
      </c>
      <c r="G2423" t="s">
        <v>318</v>
      </c>
      <c r="H2423" t="s">
        <v>435</v>
      </c>
      <c r="I2423" t="s">
        <v>494</v>
      </c>
      <c r="J2423" t="s">
        <v>501</v>
      </c>
    </row>
    <row r="2424" spans="1:10" hidden="1" x14ac:dyDescent="0.25">
      <c r="A2424" t="s">
        <v>415</v>
      </c>
      <c r="B2424" t="s">
        <v>6</v>
      </c>
      <c r="C2424" t="s">
        <v>7</v>
      </c>
      <c r="D2424" t="s">
        <v>10</v>
      </c>
      <c r="E2424" s="2">
        <v>43336.312557870369</v>
      </c>
      <c r="F2424" t="s">
        <v>298</v>
      </c>
      <c r="G2424" t="s">
        <v>323</v>
      </c>
      <c r="H2424" t="s">
        <v>462</v>
      </c>
      <c r="I2424" t="s">
        <v>581</v>
      </c>
      <c r="J2424" t="s">
        <v>581</v>
      </c>
    </row>
    <row r="2425" spans="1:10" hidden="1" x14ac:dyDescent="0.25">
      <c r="A2425" t="s">
        <v>481</v>
      </c>
      <c r="B2425" t="s">
        <v>6</v>
      </c>
      <c r="C2425" t="s">
        <v>7</v>
      </c>
      <c r="D2425" t="s">
        <v>73</v>
      </c>
      <c r="E2425" s="2">
        <v>43336.312650462962</v>
      </c>
      <c r="F2425" t="s">
        <v>587</v>
      </c>
      <c r="G2425" t="s">
        <v>460</v>
      </c>
      <c r="H2425" t="s">
        <v>450</v>
      </c>
      <c r="I2425" t="s">
        <v>530</v>
      </c>
      <c r="J2425" t="s">
        <v>520</v>
      </c>
    </row>
    <row r="2426" spans="1:10" hidden="1" x14ac:dyDescent="0.25">
      <c r="A2426" t="s">
        <v>139</v>
      </c>
      <c r="B2426" t="s">
        <v>6</v>
      </c>
      <c r="C2426" t="s">
        <v>7</v>
      </c>
      <c r="D2426" t="s">
        <v>10</v>
      </c>
      <c r="E2426" s="2">
        <v>43336.312777777777</v>
      </c>
      <c r="F2426" t="s">
        <v>303</v>
      </c>
      <c r="G2426" t="s">
        <v>431</v>
      </c>
      <c r="H2426" t="s">
        <v>446</v>
      </c>
      <c r="I2426" t="s">
        <v>494</v>
      </c>
      <c r="J2426" t="s">
        <v>501</v>
      </c>
    </row>
    <row r="2427" spans="1:10" hidden="1" x14ac:dyDescent="0.25">
      <c r="A2427" t="s">
        <v>81</v>
      </c>
      <c r="B2427" t="s">
        <v>6</v>
      </c>
      <c r="C2427" t="s">
        <v>7</v>
      </c>
      <c r="D2427" t="s">
        <v>10</v>
      </c>
      <c r="E2427" s="2">
        <v>43336.312858796293</v>
      </c>
      <c r="F2427" t="s">
        <v>299</v>
      </c>
      <c r="G2427" t="s">
        <v>385</v>
      </c>
      <c r="H2427" t="s">
        <v>430</v>
      </c>
      <c r="I2427" t="s">
        <v>533</v>
      </c>
      <c r="J2427" t="s">
        <v>543</v>
      </c>
    </row>
    <row r="2428" spans="1:10" hidden="1" x14ac:dyDescent="0.25">
      <c r="A2428" t="s">
        <v>242</v>
      </c>
      <c r="B2428" t="s">
        <v>6</v>
      </c>
      <c r="C2428" t="s">
        <v>7</v>
      </c>
      <c r="D2428" t="s">
        <v>10</v>
      </c>
      <c r="E2428" s="2">
        <v>43336.312928240739</v>
      </c>
      <c r="F2428" t="s">
        <v>300</v>
      </c>
      <c r="G2428" t="s">
        <v>454</v>
      </c>
      <c r="H2428" t="s">
        <v>451</v>
      </c>
      <c r="I2428" t="s">
        <v>498</v>
      </c>
      <c r="J2428" t="s">
        <v>498</v>
      </c>
    </row>
    <row r="2429" spans="1:10" hidden="1" x14ac:dyDescent="0.25">
      <c r="A2429" t="s">
        <v>178</v>
      </c>
      <c r="B2429" t="s">
        <v>6</v>
      </c>
      <c r="C2429" t="s">
        <v>7</v>
      </c>
      <c r="D2429" t="s">
        <v>10</v>
      </c>
      <c r="E2429" s="2">
        <v>43336.313078703701</v>
      </c>
      <c r="F2429" t="s">
        <v>585</v>
      </c>
      <c r="G2429" t="s">
        <v>318</v>
      </c>
      <c r="H2429" t="s">
        <v>436</v>
      </c>
      <c r="I2429" t="s">
        <v>494</v>
      </c>
      <c r="J2429" t="s">
        <v>501</v>
      </c>
    </row>
    <row r="2430" spans="1:10" hidden="1" x14ac:dyDescent="0.25">
      <c r="A2430" t="s">
        <v>480</v>
      </c>
      <c r="B2430" t="s">
        <v>6</v>
      </c>
      <c r="C2430" t="s">
        <v>7</v>
      </c>
      <c r="D2430" t="s">
        <v>10</v>
      </c>
      <c r="E2430" s="2">
        <v>43336.313263888886</v>
      </c>
      <c r="F2430" t="s">
        <v>587</v>
      </c>
      <c r="G2430" t="s">
        <v>460</v>
      </c>
      <c r="H2430" t="s">
        <v>451</v>
      </c>
      <c r="I2430" t="s">
        <v>527</v>
      </c>
      <c r="J2430" t="s">
        <v>520</v>
      </c>
    </row>
    <row r="2431" spans="1:10" hidden="1" x14ac:dyDescent="0.25">
      <c r="A2431" t="s">
        <v>289</v>
      </c>
      <c r="B2431" t="s">
        <v>6</v>
      </c>
      <c r="C2431" t="s">
        <v>7</v>
      </c>
      <c r="D2431" t="s">
        <v>10</v>
      </c>
      <c r="E2431" s="2">
        <v>43336.313414351855</v>
      </c>
      <c r="F2431" t="s">
        <v>303</v>
      </c>
      <c r="G2431" t="s">
        <v>431</v>
      </c>
      <c r="H2431" t="s">
        <v>447</v>
      </c>
      <c r="I2431" t="s">
        <v>494</v>
      </c>
      <c r="J2431" t="s">
        <v>501</v>
      </c>
    </row>
    <row r="2432" spans="1:10" hidden="1" x14ac:dyDescent="0.25">
      <c r="A2432" t="s">
        <v>153</v>
      </c>
      <c r="B2432" t="s">
        <v>6</v>
      </c>
      <c r="C2432" t="s">
        <v>7</v>
      </c>
      <c r="D2432" t="s">
        <v>10</v>
      </c>
      <c r="E2432" s="2">
        <v>43336.31349537037</v>
      </c>
      <c r="F2432" t="s">
        <v>299</v>
      </c>
      <c r="G2432" t="s">
        <v>385</v>
      </c>
      <c r="H2432" t="s">
        <v>431</v>
      </c>
      <c r="I2432" t="s">
        <v>533</v>
      </c>
      <c r="J2432" t="s">
        <v>543</v>
      </c>
    </row>
    <row r="2433" spans="1:10" hidden="1" x14ac:dyDescent="0.25">
      <c r="A2433" t="s">
        <v>267</v>
      </c>
      <c r="B2433" t="s">
        <v>6</v>
      </c>
      <c r="C2433" t="s">
        <v>7</v>
      </c>
      <c r="D2433" t="s">
        <v>10</v>
      </c>
      <c r="E2433" s="2">
        <v>43336.31355324074</v>
      </c>
      <c r="F2433" t="s">
        <v>300</v>
      </c>
      <c r="G2433" t="s">
        <v>454</v>
      </c>
      <c r="H2433" t="s">
        <v>452</v>
      </c>
      <c r="I2433" t="s">
        <v>498</v>
      </c>
      <c r="J2433" t="s">
        <v>498</v>
      </c>
    </row>
    <row r="2434" spans="1:10" hidden="1" x14ac:dyDescent="0.25">
      <c r="A2434" t="s">
        <v>40</v>
      </c>
      <c r="B2434" t="s">
        <v>6</v>
      </c>
      <c r="C2434" t="s">
        <v>7</v>
      </c>
      <c r="D2434" t="s">
        <v>10</v>
      </c>
      <c r="E2434" s="2">
        <v>43336.313726851855</v>
      </c>
      <c r="F2434" t="s">
        <v>585</v>
      </c>
      <c r="G2434" t="s">
        <v>318</v>
      </c>
      <c r="H2434" t="s">
        <v>437</v>
      </c>
      <c r="I2434" t="s">
        <v>494</v>
      </c>
      <c r="J2434" t="s">
        <v>501</v>
      </c>
    </row>
    <row r="2435" spans="1:10" hidden="1" x14ac:dyDescent="0.25">
      <c r="A2435" t="s">
        <v>486</v>
      </c>
      <c r="B2435" t="s">
        <v>6</v>
      </c>
      <c r="C2435" t="s">
        <v>7</v>
      </c>
      <c r="D2435" t="s">
        <v>10</v>
      </c>
      <c r="E2435" s="2">
        <v>43336.31391203704</v>
      </c>
      <c r="F2435" t="s">
        <v>587</v>
      </c>
      <c r="G2435" t="s">
        <v>460</v>
      </c>
      <c r="H2435" t="s">
        <v>452</v>
      </c>
      <c r="I2435" t="s">
        <v>524</v>
      </c>
      <c r="J2435" t="s">
        <v>520</v>
      </c>
    </row>
    <row r="2436" spans="1:10" hidden="1" x14ac:dyDescent="0.25">
      <c r="A2436" t="s">
        <v>15</v>
      </c>
      <c r="B2436" t="s">
        <v>6</v>
      </c>
      <c r="C2436" t="s">
        <v>7</v>
      </c>
      <c r="D2436" t="s">
        <v>484</v>
      </c>
      <c r="E2436" s="2">
        <v>43336.313935185186</v>
      </c>
      <c r="F2436" t="s">
        <v>298</v>
      </c>
      <c r="G2436" t="s">
        <v>323</v>
      </c>
      <c r="H2436" t="s">
        <v>453</v>
      </c>
      <c r="I2436" t="s">
        <v>541</v>
      </c>
      <c r="J2436" t="s">
        <v>542</v>
      </c>
    </row>
    <row r="2437" spans="1:10" hidden="1" x14ac:dyDescent="0.25">
      <c r="A2437" t="s">
        <v>55</v>
      </c>
      <c r="B2437" t="s">
        <v>6</v>
      </c>
      <c r="C2437" t="s">
        <v>7</v>
      </c>
      <c r="D2437" t="s">
        <v>10</v>
      </c>
      <c r="E2437" s="2">
        <v>43336.314166666663</v>
      </c>
      <c r="F2437" t="s">
        <v>300</v>
      </c>
      <c r="G2437" t="s">
        <v>454</v>
      </c>
      <c r="H2437" t="s">
        <v>318</v>
      </c>
      <c r="I2437" t="s">
        <v>558</v>
      </c>
      <c r="J2437" t="s">
        <v>562</v>
      </c>
    </row>
    <row r="2438" spans="1:10" hidden="1" x14ac:dyDescent="0.25">
      <c r="A2438" t="s">
        <v>99</v>
      </c>
      <c r="B2438" t="s">
        <v>6</v>
      </c>
      <c r="C2438" t="s">
        <v>7</v>
      </c>
      <c r="D2438" t="s">
        <v>10</v>
      </c>
      <c r="E2438" s="2">
        <v>43336.31417824074</v>
      </c>
      <c r="F2438" t="s">
        <v>299</v>
      </c>
      <c r="G2438" t="s">
        <v>385</v>
      </c>
      <c r="H2438" t="s">
        <v>432</v>
      </c>
      <c r="I2438" t="s">
        <v>533</v>
      </c>
      <c r="J2438" t="s">
        <v>543</v>
      </c>
    </row>
    <row r="2439" spans="1:10" hidden="1" x14ac:dyDescent="0.25">
      <c r="A2439" t="s">
        <v>174</v>
      </c>
      <c r="B2439" t="s">
        <v>6</v>
      </c>
      <c r="C2439" t="s">
        <v>7</v>
      </c>
      <c r="D2439" t="s">
        <v>27</v>
      </c>
      <c r="E2439" s="2">
        <v>43336.314212962963</v>
      </c>
      <c r="F2439" t="s">
        <v>303</v>
      </c>
      <c r="G2439" t="s">
        <v>431</v>
      </c>
      <c r="H2439" t="s">
        <v>448</v>
      </c>
      <c r="I2439" t="s">
        <v>494</v>
      </c>
      <c r="J2439" t="s">
        <v>501</v>
      </c>
    </row>
    <row r="2440" spans="1:10" hidden="1" x14ac:dyDescent="0.25">
      <c r="A2440" t="s">
        <v>149</v>
      </c>
      <c r="B2440" t="s">
        <v>6</v>
      </c>
      <c r="C2440" t="s">
        <v>7</v>
      </c>
      <c r="D2440" t="s">
        <v>10</v>
      </c>
      <c r="E2440" s="2">
        <v>43336.314340277779</v>
      </c>
      <c r="F2440" t="s">
        <v>585</v>
      </c>
      <c r="G2440" t="s">
        <v>318</v>
      </c>
      <c r="H2440" t="s">
        <v>438</v>
      </c>
      <c r="I2440" t="s">
        <v>494</v>
      </c>
      <c r="J2440" t="s">
        <v>501</v>
      </c>
    </row>
    <row r="2441" spans="1:10" hidden="1" x14ac:dyDescent="0.25">
      <c r="A2441" t="s">
        <v>387</v>
      </c>
      <c r="B2441" t="s">
        <v>6</v>
      </c>
      <c r="C2441" t="s">
        <v>7</v>
      </c>
      <c r="D2441" t="s">
        <v>476</v>
      </c>
      <c r="E2441" s="2">
        <v>43336.31453703704</v>
      </c>
      <c r="F2441" t="s">
        <v>587</v>
      </c>
      <c r="G2441" t="s">
        <v>460</v>
      </c>
      <c r="H2441" t="s">
        <v>318</v>
      </c>
      <c r="I2441" t="s">
        <v>490</v>
      </c>
      <c r="J2441" t="s">
        <v>491</v>
      </c>
    </row>
    <row r="2442" spans="1:10" hidden="1" x14ac:dyDescent="0.25">
      <c r="A2442" t="s">
        <v>159</v>
      </c>
      <c r="B2442" t="s">
        <v>6</v>
      </c>
      <c r="C2442" t="s">
        <v>7</v>
      </c>
      <c r="D2442" t="s">
        <v>10</v>
      </c>
      <c r="E2442" s="2">
        <v>43336.314560185187</v>
      </c>
      <c r="F2442" t="s">
        <v>298</v>
      </c>
      <c r="G2442" t="s">
        <v>323</v>
      </c>
      <c r="H2442" t="s">
        <v>454</v>
      </c>
      <c r="I2442" t="s">
        <v>492</v>
      </c>
      <c r="J2442" t="s">
        <v>493</v>
      </c>
    </row>
    <row r="2443" spans="1:10" hidden="1" x14ac:dyDescent="0.25">
      <c r="A2443" t="s">
        <v>107</v>
      </c>
      <c r="B2443" t="s">
        <v>6</v>
      </c>
      <c r="C2443" t="s">
        <v>7</v>
      </c>
      <c r="D2443" t="s">
        <v>10</v>
      </c>
      <c r="E2443" s="2">
        <v>43336.314814814818</v>
      </c>
      <c r="F2443" t="s">
        <v>300</v>
      </c>
      <c r="G2443" t="s">
        <v>454</v>
      </c>
      <c r="H2443" t="s">
        <v>323</v>
      </c>
      <c r="I2443" t="s">
        <v>494</v>
      </c>
      <c r="J2443" t="s">
        <v>13</v>
      </c>
    </row>
    <row r="2444" spans="1:10" hidden="1" x14ac:dyDescent="0.25">
      <c r="A2444" t="s">
        <v>155</v>
      </c>
      <c r="B2444" t="s">
        <v>6</v>
      </c>
      <c r="C2444" t="s">
        <v>7</v>
      </c>
      <c r="D2444" t="s">
        <v>476</v>
      </c>
      <c r="E2444" s="2">
        <v>43336.31486111111</v>
      </c>
      <c r="F2444" t="s">
        <v>299</v>
      </c>
      <c r="G2444" t="s">
        <v>385</v>
      </c>
      <c r="H2444" t="s">
        <v>433</v>
      </c>
      <c r="I2444" t="s">
        <v>553</v>
      </c>
      <c r="J2444" t="s">
        <v>497</v>
      </c>
    </row>
    <row r="2445" spans="1:10" hidden="1" x14ac:dyDescent="0.25">
      <c r="A2445" t="s">
        <v>290</v>
      </c>
      <c r="B2445" t="s">
        <v>6</v>
      </c>
      <c r="C2445" t="s">
        <v>7</v>
      </c>
      <c r="D2445" t="s">
        <v>476</v>
      </c>
      <c r="E2445" s="2">
        <v>43336.31486111111</v>
      </c>
      <c r="F2445" t="s">
        <v>303</v>
      </c>
      <c r="G2445" t="s">
        <v>431</v>
      </c>
      <c r="H2445" t="s">
        <v>449</v>
      </c>
      <c r="I2445" t="s">
        <v>494</v>
      </c>
      <c r="J2445" t="s">
        <v>501</v>
      </c>
    </row>
    <row r="2446" spans="1:10" hidden="1" x14ac:dyDescent="0.25">
      <c r="A2446" t="s">
        <v>176</v>
      </c>
      <c r="B2446" t="s">
        <v>6</v>
      </c>
      <c r="C2446" t="s">
        <v>7</v>
      </c>
      <c r="D2446" t="s">
        <v>10</v>
      </c>
      <c r="E2446" s="2">
        <v>43336.314976851849</v>
      </c>
      <c r="F2446" t="s">
        <v>585</v>
      </c>
      <c r="G2446" t="s">
        <v>318</v>
      </c>
      <c r="H2446" t="s">
        <v>439</v>
      </c>
      <c r="I2446" t="s">
        <v>494</v>
      </c>
      <c r="J2446" t="s">
        <v>495</v>
      </c>
    </row>
    <row r="2447" spans="1:10" hidden="1" x14ac:dyDescent="0.25">
      <c r="A2447" t="s">
        <v>369</v>
      </c>
      <c r="B2447" t="s">
        <v>6</v>
      </c>
      <c r="C2447" t="s">
        <v>7</v>
      </c>
      <c r="D2447" t="s">
        <v>10</v>
      </c>
      <c r="E2447" s="2">
        <v>43336.315138888887</v>
      </c>
      <c r="F2447" t="s">
        <v>587</v>
      </c>
      <c r="G2447" t="s">
        <v>460</v>
      </c>
      <c r="H2447" t="s">
        <v>323</v>
      </c>
      <c r="I2447" t="s">
        <v>490</v>
      </c>
      <c r="J2447" t="s">
        <v>491</v>
      </c>
    </row>
    <row r="2448" spans="1:10" hidden="1" x14ac:dyDescent="0.25">
      <c r="A2448" t="s">
        <v>93</v>
      </c>
      <c r="B2448" t="s">
        <v>6</v>
      </c>
      <c r="C2448" t="s">
        <v>7</v>
      </c>
      <c r="D2448" t="s">
        <v>10</v>
      </c>
      <c r="E2448" s="2">
        <v>43336.315428240741</v>
      </c>
      <c r="F2448" t="s">
        <v>300</v>
      </c>
      <c r="G2448" t="s">
        <v>454</v>
      </c>
      <c r="H2448" t="s">
        <v>385</v>
      </c>
      <c r="I2448" t="s">
        <v>552</v>
      </c>
      <c r="J2448" t="s">
        <v>565</v>
      </c>
    </row>
    <row r="2449" spans="1:10" hidden="1" x14ac:dyDescent="0.25">
      <c r="A2449" t="s">
        <v>236</v>
      </c>
      <c r="B2449" t="s">
        <v>6</v>
      </c>
      <c r="C2449" t="s">
        <v>7</v>
      </c>
      <c r="D2449" t="s">
        <v>10</v>
      </c>
      <c r="E2449" s="2">
        <v>43336.315486111111</v>
      </c>
      <c r="F2449" t="s">
        <v>303</v>
      </c>
      <c r="G2449" t="s">
        <v>431</v>
      </c>
      <c r="H2449" t="s">
        <v>450</v>
      </c>
      <c r="I2449" t="s">
        <v>494</v>
      </c>
      <c r="J2449" t="s">
        <v>501</v>
      </c>
    </row>
    <row r="2450" spans="1:10" hidden="1" x14ac:dyDescent="0.25">
      <c r="A2450" t="s">
        <v>120</v>
      </c>
      <c r="B2450" t="s">
        <v>6</v>
      </c>
      <c r="C2450" t="s">
        <v>219</v>
      </c>
      <c r="D2450" t="s">
        <v>476</v>
      </c>
      <c r="E2450" s="2">
        <v>43336.31554398148</v>
      </c>
      <c r="F2450" t="s">
        <v>299</v>
      </c>
      <c r="G2450" t="s">
        <v>385</v>
      </c>
      <c r="H2450" t="s">
        <v>434</v>
      </c>
      <c r="I2450" t="s">
        <v>553</v>
      </c>
      <c r="J2450" t="s">
        <v>497</v>
      </c>
    </row>
    <row r="2451" spans="1:10" hidden="1" x14ac:dyDescent="0.25">
      <c r="A2451" t="s">
        <v>39</v>
      </c>
      <c r="B2451" t="s">
        <v>6</v>
      </c>
      <c r="C2451" t="s">
        <v>7</v>
      </c>
      <c r="D2451" t="s">
        <v>10</v>
      </c>
      <c r="E2451" s="2">
        <v>43336.31559027778</v>
      </c>
      <c r="F2451" t="s">
        <v>585</v>
      </c>
      <c r="G2451" t="s">
        <v>318</v>
      </c>
      <c r="H2451" t="s">
        <v>440</v>
      </c>
      <c r="I2451" t="s">
        <v>494</v>
      </c>
      <c r="J2451" t="s">
        <v>495</v>
      </c>
    </row>
    <row r="2452" spans="1:10" hidden="1" x14ac:dyDescent="0.25">
      <c r="A2452" t="s">
        <v>166</v>
      </c>
      <c r="B2452" t="s">
        <v>6</v>
      </c>
      <c r="C2452" t="s">
        <v>7</v>
      </c>
      <c r="D2452" t="s">
        <v>8</v>
      </c>
      <c r="E2452" s="2">
        <v>43336.315949074073</v>
      </c>
      <c r="F2452" t="s">
        <v>298</v>
      </c>
      <c r="G2452" t="s">
        <v>323</v>
      </c>
      <c r="H2452" t="s">
        <v>455</v>
      </c>
      <c r="I2452" t="s">
        <v>492</v>
      </c>
      <c r="J2452" t="s">
        <v>493</v>
      </c>
    </row>
    <row r="2453" spans="1:10" hidden="1" x14ac:dyDescent="0.25">
      <c r="A2453" t="s">
        <v>68</v>
      </c>
      <c r="B2453" t="s">
        <v>6</v>
      </c>
      <c r="C2453" t="s">
        <v>7</v>
      </c>
      <c r="D2453" t="s">
        <v>10</v>
      </c>
      <c r="E2453" s="2">
        <v>43336.316053240742</v>
      </c>
      <c r="F2453" t="s">
        <v>300</v>
      </c>
      <c r="G2453" t="s">
        <v>454</v>
      </c>
      <c r="H2453" t="s">
        <v>457</v>
      </c>
      <c r="I2453" t="s">
        <v>552</v>
      </c>
      <c r="J2453" t="s">
        <v>568</v>
      </c>
    </row>
    <row r="2454" spans="1:10" hidden="1" x14ac:dyDescent="0.25">
      <c r="A2454" t="s">
        <v>173</v>
      </c>
      <c r="B2454" t="s">
        <v>6</v>
      </c>
      <c r="C2454" t="s">
        <v>7</v>
      </c>
      <c r="D2454" t="s">
        <v>10</v>
      </c>
      <c r="E2454" s="2">
        <v>43336.316122685188</v>
      </c>
      <c r="F2454" t="s">
        <v>303</v>
      </c>
      <c r="G2454" t="s">
        <v>431</v>
      </c>
      <c r="H2454" t="s">
        <v>451</v>
      </c>
      <c r="I2454" t="s">
        <v>494</v>
      </c>
      <c r="J2454" t="s">
        <v>501</v>
      </c>
    </row>
    <row r="2455" spans="1:10" hidden="1" x14ac:dyDescent="0.25">
      <c r="A2455" t="s">
        <v>94</v>
      </c>
      <c r="B2455" t="s">
        <v>6</v>
      </c>
      <c r="C2455" t="s">
        <v>7</v>
      </c>
      <c r="D2455" t="s">
        <v>10</v>
      </c>
      <c r="E2455" s="2">
        <v>43336.316192129627</v>
      </c>
      <c r="F2455" t="s">
        <v>299</v>
      </c>
      <c r="G2455" t="s">
        <v>385</v>
      </c>
      <c r="H2455" t="s">
        <v>435</v>
      </c>
      <c r="I2455" t="s">
        <v>492</v>
      </c>
      <c r="J2455" t="s">
        <v>546</v>
      </c>
    </row>
    <row r="2456" spans="1:10" hidden="1" x14ac:dyDescent="0.25">
      <c r="A2456" t="s">
        <v>144</v>
      </c>
      <c r="B2456" t="s">
        <v>6</v>
      </c>
      <c r="C2456" t="s">
        <v>7</v>
      </c>
      <c r="D2456" t="s">
        <v>10</v>
      </c>
      <c r="E2456" s="2">
        <v>43336.31621527778</v>
      </c>
      <c r="F2456" t="s">
        <v>585</v>
      </c>
      <c r="G2456" t="s">
        <v>318</v>
      </c>
      <c r="H2456" t="s">
        <v>441</v>
      </c>
      <c r="I2456" t="s">
        <v>494</v>
      </c>
      <c r="J2456" t="s">
        <v>495</v>
      </c>
    </row>
    <row r="2457" spans="1:10" hidden="1" x14ac:dyDescent="0.25">
      <c r="A2457" t="s">
        <v>180</v>
      </c>
      <c r="B2457" t="s">
        <v>6</v>
      </c>
      <c r="C2457" t="s">
        <v>7</v>
      </c>
      <c r="D2457" t="s">
        <v>10</v>
      </c>
      <c r="E2457" s="2">
        <v>43336.31658564815</v>
      </c>
      <c r="F2457" t="s">
        <v>298</v>
      </c>
      <c r="G2457" t="s">
        <v>323</v>
      </c>
      <c r="H2457" t="s">
        <v>456</v>
      </c>
      <c r="I2457" t="s">
        <v>492</v>
      </c>
      <c r="J2457" t="s">
        <v>493</v>
      </c>
    </row>
    <row r="2458" spans="1:10" hidden="1" x14ac:dyDescent="0.25">
      <c r="A2458" t="s">
        <v>95</v>
      </c>
      <c r="B2458" t="s">
        <v>6</v>
      </c>
      <c r="C2458" t="s">
        <v>7</v>
      </c>
      <c r="D2458" t="s">
        <v>10</v>
      </c>
      <c r="E2458" s="2">
        <v>43336.316678240742</v>
      </c>
      <c r="F2458" t="s">
        <v>300</v>
      </c>
      <c r="G2458" t="s">
        <v>454</v>
      </c>
      <c r="H2458" t="s">
        <v>458</v>
      </c>
      <c r="I2458" t="s">
        <v>552</v>
      </c>
      <c r="J2458" t="s">
        <v>568</v>
      </c>
    </row>
    <row r="2459" spans="1:10" hidden="1" x14ac:dyDescent="0.25">
      <c r="A2459" t="s">
        <v>172</v>
      </c>
      <c r="B2459" t="s">
        <v>6</v>
      </c>
      <c r="C2459" t="s">
        <v>7</v>
      </c>
      <c r="D2459" t="s">
        <v>10</v>
      </c>
      <c r="E2459" s="2">
        <v>43336.316747685189</v>
      </c>
      <c r="F2459" t="s">
        <v>303</v>
      </c>
      <c r="G2459" t="s">
        <v>431</v>
      </c>
      <c r="H2459" t="s">
        <v>452</v>
      </c>
      <c r="I2459" t="s">
        <v>494</v>
      </c>
      <c r="J2459" t="s">
        <v>501</v>
      </c>
    </row>
    <row r="2460" spans="1:10" hidden="1" x14ac:dyDescent="0.25">
      <c r="A2460" t="s">
        <v>38</v>
      </c>
      <c r="B2460" t="s">
        <v>6</v>
      </c>
      <c r="C2460" t="s">
        <v>7</v>
      </c>
      <c r="D2460" t="s">
        <v>10</v>
      </c>
      <c r="E2460" s="2">
        <v>43336.316840277781</v>
      </c>
      <c r="F2460" t="s">
        <v>585</v>
      </c>
      <c r="G2460" t="s">
        <v>318</v>
      </c>
      <c r="H2460" t="s">
        <v>442</v>
      </c>
      <c r="I2460" t="s">
        <v>494</v>
      </c>
      <c r="J2460" t="s">
        <v>495</v>
      </c>
    </row>
    <row r="2461" spans="1:10" hidden="1" x14ac:dyDescent="0.25">
      <c r="A2461" t="s">
        <v>91</v>
      </c>
      <c r="B2461" t="s">
        <v>6</v>
      </c>
      <c r="C2461" t="s">
        <v>7</v>
      </c>
      <c r="D2461" t="s">
        <v>10</v>
      </c>
      <c r="E2461" s="2">
        <v>43336.316874999997</v>
      </c>
      <c r="F2461" t="s">
        <v>299</v>
      </c>
      <c r="G2461" t="s">
        <v>385</v>
      </c>
      <c r="H2461" t="s">
        <v>436</v>
      </c>
      <c r="I2461" t="s">
        <v>492</v>
      </c>
      <c r="J2461" t="s">
        <v>546</v>
      </c>
    </row>
    <row r="2462" spans="1:10" hidden="1" x14ac:dyDescent="0.25">
      <c r="A2462" t="s">
        <v>160</v>
      </c>
      <c r="B2462" t="s">
        <v>6</v>
      </c>
      <c r="C2462" t="s">
        <v>7</v>
      </c>
      <c r="D2462" t="s">
        <v>10</v>
      </c>
      <c r="E2462" s="2">
        <v>43336.317199074074</v>
      </c>
      <c r="F2462" t="s">
        <v>298</v>
      </c>
      <c r="G2462" t="s">
        <v>323</v>
      </c>
      <c r="H2462" t="s">
        <v>426</v>
      </c>
      <c r="I2462" t="s">
        <v>492</v>
      </c>
      <c r="J2462" t="s">
        <v>493</v>
      </c>
    </row>
    <row r="2463" spans="1:10" hidden="1" x14ac:dyDescent="0.25">
      <c r="A2463" t="s">
        <v>58</v>
      </c>
      <c r="B2463" t="s">
        <v>6</v>
      </c>
      <c r="C2463" t="s">
        <v>7</v>
      </c>
      <c r="D2463" t="s">
        <v>10</v>
      </c>
      <c r="E2463" s="2">
        <v>43336.317314814813</v>
      </c>
      <c r="F2463" t="s">
        <v>300</v>
      </c>
      <c r="G2463" t="s">
        <v>454</v>
      </c>
      <c r="H2463" t="s">
        <v>459</v>
      </c>
      <c r="I2463" t="s">
        <v>552</v>
      </c>
      <c r="J2463" t="s">
        <v>568</v>
      </c>
    </row>
    <row r="2464" spans="1:10" hidden="1" x14ac:dyDescent="0.25">
      <c r="A2464" t="s">
        <v>278</v>
      </c>
      <c r="B2464" t="s">
        <v>6</v>
      </c>
      <c r="C2464" t="s">
        <v>7</v>
      </c>
      <c r="D2464" t="s">
        <v>10</v>
      </c>
      <c r="E2464" s="2">
        <v>43336.317395833335</v>
      </c>
      <c r="F2464" t="s">
        <v>303</v>
      </c>
      <c r="G2464" t="s">
        <v>431</v>
      </c>
      <c r="H2464" t="s">
        <v>318</v>
      </c>
      <c r="I2464" t="s">
        <v>498</v>
      </c>
      <c r="J2464" t="s">
        <v>498</v>
      </c>
    </row>
    <row r="2465" spans="1:10" hidden="1" x14ac:dyDescent="0.25">
      <c r="A2465" t="s">
        <v>37</v>
      </c>
      <c r="B2465" t="s">
        <v>6</v>
      </c>
      <c r="C2465" t="s">
        <v>7</v>
      </c>
      <c r="D2465" t="s">
        <v>10</v>
      </c>
      <c r="E2465" s="2">
        <v>43336.317453703705</v>
      </c>
      <c r="F2465" t="s">
        <v>585</v>
      </c>
      <c r="G2465" t="s">
        <v>318</v>
      </c>
      <c r="H2465" t="s">
        <v>443</v>
      </c>
      <c r="I2465" t="s">
        <v>494</v>
      </c>
      <c r="J2465" t="s">
        <v>495</v>
      </c>
    </row>
    <row r="2466" spans="1:10" hidden="1" x14ac:dyDescent="0.25">
      <c r="A2466" t="s">
        <v>89</v>
      </c>
      <c r="B2466" t="s">
        <v>6</v>
      </c>
      <c r="C2466" t="s">
        <v>7</v>
      </c>
      <c r="D2466" t="s">
        <v>10</v>
      </c>
      <c r="E2466" s="2">
        <v>43336.317523148151</v>
      </c>
      <c r="F2466" t="s">
        <v>299</v>
      </c>
      <c r="G2466" t="s">
        <v>385</v>
      </c>
      <c r="H2466" t="s">
        <v>437</v>
      </c>
      <c r="I2466" t="s">
        <v>492</v>
      </c>
      <c r="J2466" t="s">
        <v>546</v>
      </c>
    </row>
    <row r="2467" spans="1:10" hidden="1" x14ac:dyDescent="0.25">
      <c r="A2467" t="s">
        <v>157</v>
      </c>
      <c r="B2467" t="s">
        <v>6</v>
      </c>
      <c r="C2467" t="s">
        <v>7</v>
      </c>
      <c r="D2467" t="s">
        <v>13</v>
      </c>
      <c r="E2467" s="2">
        <v>43336.31790509259</v>
      </c>
      <c r="F2467" t="s">
        <v>298</v>
      </c>
      <c r="G2467" t="s">
        <v>323</v>
      </c>
      <c r="H2467" t="s">
        <v>427</v>
      </c>
      <c r="I2467" t="s">
        <v>13</v>
      </c>
      <c r="J2467" t="s">
        <v>535</v>
      </c>
    </row>
    <row r="2468" spans="1:10" hidden="1" x14ac:dyDescent="0.25">
      <c r="A2468" t="s">
        <v>54</v>
      </c>
      <c r="B2468" t="s">
        <v>6</v>
      </c>
      <c r="C2468" t="s">
        <v>7</v>
      </c>
      <c r="D2468" t="s">
        <v>10</v>
      </c>
      <c r="E2468" s="2">
        <v>43336.317928240744</v>
      </c>
      <c r="F2468" t="s">
        <v>300</v>
      </c>
      <c r="G2468" t="s">
        <v>454</v>
      </c>
      <c r="H2468" t="s">
        <v>460</v>
      </c>
      <c r="I2468" t="s">
        <v>552</v>
      </c>
      <c r="J2468" t="s">
        <v>568</v>
      </c>
    </row>
    <row r="2469" spans="1:10" hidden="1" x14ac:dyDescent="0.25">
      <c r="A2469" t="s">
        <v>147</v>
      </c>
      <c r="B2469" t="s">
        <v>6</v>
      </c>
      <c r="C2469" t="s">
        <v>7</v>
      </c>
      <c r="D2469" t="s">
        <v>10</v>
      </c>
      <c r="E2469" s="2">
        <v>43336.318020833336</v>
      </c>
      <c r="F2469" t="s">
        <v>303</v>
      </c>
      <c r="G2469" t="s">
        <v>431</v>
      </c>
      <c r="H2469" t="s">
        <v>323</v>
      </c>
      <c r="I2469" t="s">
        <v>498</v>
      </c>
      <c r="J2469" t="s">
        <v>498</v>
      </c>
    </row>
    <row r="2470" spans="1:10" hidden="1" x14ac:dyDescent="0.25">
      <c r="A2470" t="s">
        <v>216</v>
      </c>
      <c r="B2470" t="s">
        <v>6</v>
      </c>
      <c r="C2470" t="s">
        <v>7</v>
      </c>
      <c r="D2470" t="s">
        <v>10</v>
      </c>
      <c r="E2470" s="2">
        <v>43336.318067129629</v>
      </c>
      <c r="F2470" t="s">
        <v>585</v>
      </c>
      <c r="G2470" t="s">
        <v>318</v>
      </c>
      <c r="H2470" t="s">
        <v>444</v>
      </c>
      <c r="I2470" t="s">
        <v>494</v>
      </c>
      <c r="J2470" t="s">
        <v>495</v>
      </c>
    </row>
    <row r="2471" spans="1:10" hidden="1" x14ac:dyDescent="0.25">
      <c r="A2471" t="s">
        <v>92</v>
      </c>
      <c r="B2471" t="s">
        <v>6</v>
      </c>
      <c r="C2471" t="s">
        <v>7</v>
      </c>
      <c r="D2471" t="s">
        <v>10</v>
      </c>
      <c r="E2471" s="2">
        <v>43336.318206018521</v>
      </c>
      <c r="F2471" t="s">
        <v>299</v>
      </c>
      <c r="G2471" t="s">
        <v>385</v>
      </c>
      <c r="H2471" t="s">
        <v>438</v>
      </c>
      <c r="I2471" t="s">
        <v>492</v>
      </c>
      <c r="J2471" t="s">
        <v>546</v>
      </c>
    </row>
    <row r="2472" spans="1:10" hidden="1" x14ac:dyDescent="0.25">
      <c r="A2472" t="s">
        <v>102</v>
      </c>
      <c r="B2472" t="s">
        <v>6</v>
      </c>
      <c r="C2472" t="s">
        <v>7</v>
      </c>
      <c r="D2472" t="s">
        <v>10</v>
      </c>
      <c r="E2472" s="2">
        <v>43336.318553240744</v>
      </c>
      <c r="F2472" t="s">
        <v>300</v>
      </c>
      <c r="G2472" t="s">
        <v>454</v>
      </c>
      <c r="H2472" t="s">
        <v>461</v>
      </c>
      <c r="I2472" t="s">
        <v>533</v>
      </c>
      <c r="J2472" t="s">
        <v>543</v>
      </c>
    </row>
    <row r="2473" spans="1:10" hidden="1" x14ac:dyDescent="0.25">
      <c r="A2473" t="s">
        <v>279</v>
      </c>
      <c r="B2473" t="s">
        <v>6</v>
      </c>
      <c r="C2473" t="s">
        <v>7</v>
      </c>
      <c r="D2473" t="s">
        <v>10</v>
      </c>
      <c r="E2473" s="2">
        <v>43336.318657407406</v>
      </c>
      <c r="F2473" t="s">
        <v>303</v>
      </c>
      <c r="G2473" t="s">
        <v>431</v>
      </c>
      <c r="H2473" t="s">
        <v>385</v>
      </c>
      <c r="I2473" t="s">
        <v>498</v>
      </c>
      <c r="J2473" t="s">
        <v>498</v>
      </c>
    </row>
    <row r="2474" spans="1:10" hidden="1" x14ac:dyDescent="0.25">
      <c r="A2474" t="s">
        <v>36</v>
      </c>
      <c r="B2474" t="s">
        <v>6</v>
      </c>
      <c r="C2474" t="s">
        <v>7</v>
      </c>
      <c r="D2474" t="s">
        <v>10</v>
      </c>
      <c r="E2474" s="2">
        <v>43336.318692129629</v>
      </c>
      <c r="F2474" t="s">
        <v>585</v>
      </c>
      <c r="G2474" t="s">
        <v>318</v>
      </c>
      <c r="H2474" t="s">
        <v>445</v>
      </c>
      <c r="I2474" t="s">
        <v>494</v>
      </c>
      <c r="J2474" t="s">
        <v>495</v>
      </c>
    </row>
    <row r="2475" spans="1:10" hidden="1" x14ac:dyDescent="0.25">
      <c r="A2475" t="s">
        <v>69</v>
      </c>
      <c r="B2475" t="s">
        <v>6</v>
      </c>
      <c r="C2475" t="s">
        <v>7</v>
      </c>
      <c r="D2475" t="s">
        <v>10</v>
      </c>
      <c r="E2475" s="2">
        <v>43336.318877314814</v>
      </c>
      <c r="F2475" t="s">
        <v>299</v>
      </c>
      <c r="G2475" t="s">
        <v>385</v>
      </c>
      <c r="H2475" t="s">
        <v>439</v>
      </c>
      <c r="I2475" t="s">
        <v>492</v>
      </c>
      <c r="J2475" t="s">
        <v>546</v>
      </c>
    </row>
    <row r="2476" spans="1:10" hidden="1" x14ac:dyDescent="0.25">
      <c r="A2476" t="s">
        <v>61</v>
      </c>
      <c r="B2476" t="s">
        <v>6</v>
      </c>
      <c r="C2476" t="s">
        <v>7</v>
      </c>
      <c r="D2476" t="s">
        <v>476</v>
      </c>
      <c r="E2476" s="2">
        <v>43336.319189814814</v>
      </c>
      <c r="F2476" t="s">
        <v>300</v>
      </c>
      <c r="G2476" t="s">
        <v>454</v>
      </c>
      <c r="H2476" t="s">
        <v>462</v>
      </c>
      <c r="I2476" t="s">
        <v>533</v>
      </c>
      <c r="J2476" t="s">
        <v>543</v>
      </c>
    </row>
    <row r="2477" spans="1:10" hidden="1" x14ac:dyDescent="0.25">
      <c r="A2477" t="s">
        <v>195</v>
      </c>
      <c r="B2477" t="s">
        <v>6</v>
      </c>
      <c r="C2477" t="s">
        <v>7</v>
      </c>
      <c r="D2477" t="s">
        <v>10</v>
      </c>
      <c r="E2477" s="2">
        <v>43336.319293981483</v>
      </c>
      <c r="F2477" t="s">
        <v>585</v>
      </c>
      <c r="G2477" t="s">
        <v>318</v>
      </c>
      <c r="H2477" t="s">
        <v>446</v>
      </c>
      <c r="I2477" t="s">
        <v>494</v>
      </c>
      <c r="J2477" t="s">
        <v>495</v>
      </c>
    </row>
    <row r="2478" spans="1:10" hidden="1" x14ac:dyDescent="0.25">
      <c r="A2478" t="s">
        <v>132</v>
      </c>
      <c r="B2478" t="s">
        <v>6</v>
      </c>
      <c r="C2478" t="s">
        <v>7</v>
      </c>
      <c r="D2478" t="s">
        <v>10</v>
      </c>
      <c r="E2478" s="2">
        <v>43336.319305555553</v>
      </c>
      <c r="F2478" t="s">
        <v>303</v>
      </c>
      <c r="G2478" t="s">
        <v>431</v>
      </c>
      <c r="H2478" t="s">
        <v>457</v>
      </c>
      <c r="I2478" t="s">
        <v>498</v>
      </c>
      <c r="J2478" t="s">
        <v>498</v>
      </c>
    </row>
    <row r="2479" spans="1:10" hidden="1" x14ac:dyDescent="0.25">
      <c r="A2479" t="s">
        <v>222</v>
      </c>
      <c r="B2479" t="s">
        <v>6</v>
      </c>
      <c r="C2479" t="s">
        <v>7</v>
      </c>
      <c r="D2479" t="s">
        <v>484</v>
      </c>
      <c r="E2479" s="2">
        <v>43336.31931712963</v>
      </c>
      <c r="F2479" t="s">
        <v>298</v>
      </c>
      <c r="G2479" t="s">
        <v>323</v>
      </c>
      <c r="H2479" t="s">
        <v>428</v>
      </c>
      <c r="I2479" t="s">
        <v>13</v>
      </c>
      <c r="J2479" t="s">
        <v>532</v>
      </c>
    </row>
    <row r="2480" spans="1:10" hidden="1" x14ac:dyDescent="0.25">
      <c r="A2480" t="s">
        <v>152</v>
      </c>
      <c r="B2480" t="s">
        <v>6</v>
      </c>
      <c r="C2480" t="s">
        <v>7</v>
      </c>
      <c r="D2480" t="s">
        <v>10</v>
      </c>
      <c r="E2480" s="2">
        <v>43336.319548611114</v>
      </c>
      <c r="F2480" t="s">
        <v>299</v>
      </c>
      <c r="G2480" t="s">
        <v>385</v>
      </c>
      <c r="H2480" t="s">
        <v>440</v>
      </c>
      <c r="I2480" t="s">
        <v>492</v>
      </c>
      <c r="J2480" t="s">
        <v>546</v>
      </c>
    </row>
    <row r="2481" spans="1:10" hidden="1" x14ac:dyDescent="0.25">
      <c r="A2481" t="s">
        <v>53</v>
      </c>
      <c r="B2481" t="s">
        <v>6</v>
      </c>
      <c r="C2481" t="s">
        <v>7</v>
      </c>
      <c r="D2481" t="s">
        <v>476</v>
      </c>
      <c r="E2481" s="2">
        <v>43336.319803240738</v>
      </c>
      <c r="F2481" t="s">
        <v>300</v>
      </c>
      <c r="G2481" t="s">
        <v>454</v>
      </c>
      <c r="H2481" t="s">
        <v>453</v>
      </c>
      <c r="I2481" t="s">
        <v>533</v>
      </c>
      <c r="J2481" t="s">
        <v>543</v>
      </c>
    </row>
    <row r="2482" spans="1:10" hidden="1" x14ac:dyDescent="0.25">
      <c r="A2482" t="s">
        <v>35</v>
      </c>
      <c r="B2482" t="s">
        <v>6</v>
      </c>
      <c r="C2482" t="s">
        <v>7</v>
      </c>
      <c r="D2482" t="s">
        <v>10</v>
      </c>
      <c r="E2482" s="2">
        <v>43336.319930555554</v>
      </c>
      <c r="F2482" t="s">
        <v>585</v>
      </c>
      <c r="G2482" t="s">
        <v>318</v>
      </c>
      <c r="H2482" t="s">
        <v>447</v>
      </c>
      <c r="I2482" t="s">
        <v>494</v>
      </c>
      <c r="J2482" t="s">
        <v>495</v>
      </c>
    </row>
    <row r="2483" spans="1:10" hidden="1" x14ac:dyDescent="0.25">
      <c r="A2483" t="s">
        <v>230</v>
      </c>
      <c r="B2483" t="s">
        <v>6</v>
      </c>
      <c r="C2483" t="s">
        <v>7</v>
      </c>
      <c r="D2483" t="s">
        <v>10</v>
      </c>
      <c r="E2483" s="2">
        <v>43336.31994212963</v>
      </c>
      <c r="F2483" t="s">
        <v>298</v>
      </c>
      <c r="G2483" t="s">
        <v>323</v>
      </c>
      <c r="H2483" t="s">
        <v>429</v>
      </c>
      <c r="I2483" t="s">
        <v>509</v>
      </c>
      <c r="J2483" t="s">
        <v>510</v>
      </c>
    </row>
    <row r="2484" spans="1:10" hidden="1" x14ac:dyDescent="0.25">
      <c r="A2484" t="s">
        <v>131</v>
      </c>
      <c r="B2484" t="s">
        <v>6</v>
      </c>
      <c r="C2484" t="s">
        <v>7</v>
      </c>
      <c r="D2484" t="s">
        <v>10</v>
      </c>
      <c r="E2484" s="2">
        <v>43336.31994212963</v>
      </c>
      <c r="F2484" t="s">
        <v>303</v>
      </c>
      <c r="G2484" t="s">
        <v>431</v>
      </c>
      <c r="H2484" t="s">
        <v>458</v>
      </c>
      <c r="I2484" t="s">
        <v>498</v>
      </c>
      <c r="J2484" t="s">
        <v>498</v>
      </c>
    </row>
    <row r="2485" spans="1:10" hidden="1" x14ac:dyDescent="0.25">
      <c r="A2485" t="s">
        <v>67</v>
      </c>
      <c r="B2485" t="s">
        <v>6</v>
      </c>
      <c r="C2485" t="s">
        <v>7</v>
      </c>
      <c r="D2485" t="s">
        <v>10</v>
      </c>
      <c r="E2485" s="2">
        <v>43336.320196759261</v>
      </c>
      <c r="F2485" t="s">
        <v>299</v>
      </c>
      <c r="G2485" t="s">
        <v>385</v>
      </c>
      <c r="H2485" t="s">
        <v>441</v>
      </c>
      <c r="I2485" t="s">
        <v>492</v>
      </c>
      <c r="J2485" t="s">
        <v>546</v>
      </c>
    </row>
    <row r="2486" spans="1:10" hidden="1" x14ac:dyDescent="0.25">
      <c r="A2486" t="s">
        <v>156</v>
      </c>
      <c r="B2486" t="s">
        <v>6</v>
      </c>
      <c r="C2486" t="s">
        <v>7</v>
      </c>
      <c r="D2486" t="s">
        <v>476</v>
      </c>
      <c r="E2486" s="2">
        <v>43336.320405092592</v>
      </c>
      <c r="F2486" t="s">
        <v>300</v>
      </c>
      <c r="G2486" t="s">
        <v>454</v>
      </c>
      <c r="H2486" t="s">
        <v>454</v>
      </c>
      <c r="I2486" t="s">
        <v>533</v>
      </c>
      <c r="J2486" t="s">
        <v>543</v>
      </c>
    </row>
    <row r="2487" spans="1:10" hidden="1" x14ac:dyDescent="0.25">
      <c r="A2487" t="s">
        <v>34</v>
      </c>
      <c r="B2487" t="s">
        <v>6</v>
      </c>
      <c r="C2487" t="s">
        <v>7</v>
      </c>
      <c r="D2487" t="s">
        <v>10</v>
      </c>
      <c r="E2487" s="2">
        <v>43336.320555555554</v>
      </c>
      <c r="F2487" t="s">
        <v>585</v>
      </c>
      <c r="G2487" t="s">
        <v>318</v>
      </c>
      <c r="H2487" t="s">
        <v>448</v>
      </c>
      <c r="I2487" t="s">
        <v>494</v>
      </c>
      <c r="J2487" t="s">
        <v>495</v>
      </c>
    </row>
    <row r="2488" spans="1:10" hidden="1" x14ac:dyDescent="0.25">
      <c r="A2488" t="s">
        <v>226</v>
      </c>
      <c r="B2488" t="s">
        <v>6</v>
      </c>
      <c r="C2488" t="s">
        <v>7</v>
      </c>
      <c r="D2488" t="s">
        <v>10</v>
      </c>
      <c r="E2488" s="2">
        <v>43336.320567129631</v>
      </c>
      <c r="F2488" t="s">
        <v>298</v>
      </c>
      <c r="G2488" t="s">
        <v>323</v>
      </c>
      <c r="H2488" t="s">
        <v>430</v>
      </c>
      <c r="I2488" t="s">
        <v>509</v>
      </c>
      <c r="J2488" t="s">
        <v>510</v>
      </c>
    </row>
    <row r="2489" spans="1:10" hidden="1" x14ac:dyDescent="0.25">
      <c r="A2489" t="s">
        <v>130</v>
      </c>
      <c r="B2489" t="s">
        <v>6</v>
      </c>
      <c r="C2489" t="s">
        <v>7</v>
      </c>
      <c r="D2489" t="s">
        <v>13</v>
      </c>
      <c r="E2489" s="2">
        <v>43336.320717592593</v>
      </c>
      <c r="F2489" t="s">
        <v>303</v>
      </c>
      <c r="G2489" t="s">
        <v>431</v>
      </c>
      <c r="H2489" t="s">
        <v>459</v>
      </c>
      <c r="I2489" t="s">
        <v>494</v>
      </c>
      <c r="J2489" t="s">
        <v>544</v>
      </c>
    </row>
    <row r="2490" spans="1:10" hidden="1" x14ac:dyDescent="0.25">
      <c r="A2490" t="s">
        <v>65</v>
      </c>
      <c r="B2490" t="s">
        <v>6</v>
      </c>
      <c r="C2490" t="s">
        <v>7</v>
      </c>
      <c r="D2490" t="s">
        <v>10</v>
      </c>
      <c r="E2490" s="2">
        <v>43336.320821759262</v>
      </c>
      <c r="F2490" t="s">
        <v>299</v>
      </c>
      <c r="G2490" t="s">
        <v>385</v>
      </c>
      <c r="H2490" t="s">
        <v>442</v>
      </c>
      <c r="I2490" t="s">
        <v>492</v>
      </c>
      <c r="J2490" t="s">
        <v>546</v>
      </c>
    </row>
    <row r="2491" spans="1:10" hidden="1" x14ac:dyDescent="0.25">
      <c r="A2491" t="s">
        <v>70</v>
      </c>
      <c r="B2491" t="s">
        <v>6</v>
      </c>
      <c r="C2491" t="s">
        <v>7</v>
      </c>
      <c r="D2491" t="s">
        <v>10</v>
      </c>
      <c r="E2491" s="2">
        <v>43336.321030092593</v>
      </c>
      <c r="F2491" t="s">
        <v>300</v>
      </c>
      <c r="G2491" t="s">
        <v>454</v>
      </c>
      <c r="H2491" t="s">
        <v>455</v>
      </c>
      <c r="I2491" t="s">
        <v>533</v>
      </c>
      <c r="J2491" t="s">
        <v>543</v>
      </c>
    </row>
    <row r="2492" spans="1:10" hidden="1" x14ac:dyDescent="0.25">
      <c r="A2492" t="s">
        <v>33</v>
      </c>
      <c r="B2492" t="s">
        <v>6</v>
      </c>
      <c r="C2492" t="s">
        <v>7</v>
      </c>
      <c r="D2492" t="s">
        <v>10</v>
      </c>
      <c r="E2492" s="2">
        <v>43336.321168981478</v>
      </c>
      <c r="F2492" t="s">
        <v>585</v>
      </c>
      <c r="G2492" t="s">
        <v>318</v>
      </c>
      <c r="H2492" t="s">
        <v>449</v>
      </c>
      <c r="I2492" t="s">
        <v>494</v>
      </c>
      <c r="J2492" t="s">
        <v>495</v>
      </c>
    </row>
    <row r="2493" spans="1:10" hidden="1" x14ac:dyDescent="0.25">
      <c r="A2493" t="s">
        <v>161</v>
      </c>
      <c r="B2493" t="s">
        <v>6</v>
      </c>
      <c r="C2493" t="s">
        <v>7</v>
      </c>
      <c r="D2493" t="s">
        <v>10</v>
      </c>
      <c r="E2493" s="2">
        <v>43336.321192129632</v>
      </c>
      <c r="F2493" t="s">
        <v>298</v>
      </c>
      <c r="G2493" t="s">
        <v>323</v>
      </c>
      <c r="H2493" t="s">
        <v>431</v>
      </c>
      <c r="I2493" t="s">
        <v>492</v>
      </c>
      <c r="J2493" t="s">
        <v>493</v>
      </c>
    </row>
    <row r="2494" spans="1:10" hidden="1" x14ac:dyDescent="0.25">
      <c r="A2494" t="s">
        <v>184</v>
      </c>
      <c r="B2494" t="s">
        <v>6</v>
      </c>
      <c r="C2494" t="s">
        <v>7</v>
      </c>
      <c r="D2494" t="s">
        <v>476</v>
      </c>
      <c r="E2494" s="2">
        <v>43336.321377314816</v>
      </c>
      <c r="F2494" t="s">
        <v>303</v>
      </c>
      <c r="G2494" t="s">
        <v>431</v>
      </c>
      <c r="H2494" t="s">
        <v>460</v>
      </c>
      <c r="I2494" t="s">
        <v>494</v>
      </c>
      <c r="J2494" t="s">
        <v>544</v>
      </c>
    </row>
    <row r="2495" spans="1:10" hidden="1" x14ac:dyDescent="0.25">
      <c r="A2495" t="s">
        <v>64</v>
      </c>
      <c r="B2495" t="s">
        <v>6</v>
      </c>
      <c r="C2495" t="s">
        <v>7</v>
      </c>
      <c r="D2495" t="s">
        <v>10</v>
      </c>
      <c r="E2495" s="2">
        <v>43336.321446759262</v>
      </c>
      <c r="F2495" t="s">
        <v>299</v>
      </c>
      <c r="G2495" t="s">
        <v>385</v>
      </c>
      <c r="H2495" t="s">
        <v>443</v>
      </c>
      <c r="I2495" t="s">
        <v>492</v>
      </c>
      <c r="J2495" t="s">
        <v>557</v>
      </c>
    </row>
    <row r="2496" spans="1:10" hidden="1" x14ac:dyDescent="0.25">
      <c r="A2496" t="s">
        <v>52</v>
      </c>
      <c r="B2496" t="s">
        <v>6</v>
      </c>
      <c r="C2496" t="s">
        <v>7</v>
      </c>
      <c r="D2496" t="s">
        <v>10</v>
      </c>
      <c r="E2496" s="2">
        <v>43336.321666666663</v>
      </c>
      <c r="F2496" t="s">
        <v>300</v>
      </c>
      <c r="G2496" t="s">
        <v>454</v>
      </c>
      <c r="H2496" t="s">
        <v>456</v>
      </c>
      <c r="I2496" t="s">
        <v>533</v>
      </c>
      <c r="J2496" t="s">
        <v>543</v>
      </c>
    </row>
    <row r="2497" spans="1:10" hidden="1" x14ac:dyDescent="0.25">
      <c r="A2497" t="s">
        <v>32</v>
      </c>
      <c r="B2497" t="s">
        <v>6</v>
      </c>
      <c r="C2497" t="s">
        <v>7</v>
      </c>
      <c r="D2497" t="s">
        <v>10</v>
      </c>
      <c r="E2497" s="2">
        <v>43336.321793981479</v>
      </c>
      <c r="F2497" t="s">
        <v>585</v>
      </c>
      <c r="G2497" t="s">
        <v>318</v>
      </c>
      <c r="H2497" t="s">
        <v>450</v>
      </c>
      <c r="I2497" t="s">
        <v>494</v>
      </c>
      <c r="J2497" t="s">
        <v>495</v>
      </c>
    </row>
    <row r="2498" spans="1:10" hidden="1" x14ac:dyDescent="0.25">
      <c r="A2498" t="s">
        <v>228</v>
      </c>
      <c r="B2498" t="s">
        <v>6</v>
      </c>
      <c r="C2498" t="s">
        <v>7</v>
      </c>
      <c r="D2498" t="s">
        <v>10</v>
      </c>
      <c r="E2498" s="2">
        <v>43336.321828703702</v>
      </c>
      <c r="F2498" t="s">
        <v>298</v>
      </c>
      <c r="G2498" t="s">
        <v>323</v>
      </c>
      <c r="H2498" t="s">
        <v>432</v>
      </c>
      <c r="I2498" t="s">
        <v>509</v>
      </c>
      <c r="J2498" t="s">
        <v>523</v>
      </c>
    </row>
    <row r="2499" spans="1:10" hidden="1" x14ac:dyDescent="0.25">
      <c r="A2499" t="s">
        <v>203</v>
      </c>
      <c r="B2499" t="s">
        <v>6</v>
      </c>
      <c r="C2499" t="s">
        <v>7</v>
      </c>
      <c r="D2499" t="s">
        <v>10</v>
      </c>
      <c r="E2499" s="2">
        <v>43336.322071759256</v>
      </c>
      <c r="F2499" t="s">
        <v>299</v>
      </c>
      <c r="G2499" t="s">
        <v>385</v>
      </c>
      <c r="H2499" t="s">
        <v>444</v>
      </c>
      <c r="I2499" t="s">
        <v>560</v>
      </c>
      <c r="J2499" t="s">
        <v>561</v>
      </c>
    </row>
    <row r="2500" spans="1:10" hidden="1" x14ac:dyDescent="0.25">
      <c r="A2500" t="s">
        <v>243</v>
      </c>
      <c r="B2500" t="s">
        <v>6</v>
      </c>
      <c r="C2500" t="s">
        <v>7</v>
      </c>
      <c r="D2500" t="s">
        <v>13</v>
      </c>
      <c r="E2500" s="2">
        <v>43336.322164351855</v>
      </c>
      <c r="F2500" t="s">
        <v>303</v>
      </c>
      <c r="G2500" t="s">
        <v>431</v>
      </c>
      <c r="H2500" t="s">
        <v>461</v>
      </c>
      <c r="I2500" t="s">
        <v>494</v>
      </c>
      <c r="J2500" t="s">
        <v>544</v>
      </c>
    </row>
    <row r="2501" spans="1:10" hidden="1" x14ac:dyDescent="0.25">
      <c r="A2501" t="s">
        <v>51</v>
      </c>
      <c r="B2501" t="s">
        <v>6</v>
      </c>
      <c r="C2501" t="s">
        <v>7</v>
      </c>
      <c r="D2501" t="s">
        <v>10</v>
      </c>
      <c r="E2501" s="2">
        <v>43336.322291666664</v>
      </c>
      <c r="F2501" t="s">
        <v>300</v>
      </c>
      <c r="G2501" t="s">
        <v>454</v>
      </c>
      <c r="H2501" t="s">
        <v>426</v>
      </c>
      <c r="I2501" t="s">
        <v>533</v>
      </c>
      <c r="J2501" t="s">
        <v>543</v>
      </c>
    </row>
    <row r="2502" spans="1:10" hidden="1" x14ac:dyDescent="0.25">
      <c r="A2502" t="s">
        <v>296</v>
      </c>
      <c r="B2502" t="s">
        <v>6</v>
      </c>
      <c r="C2502" t="s">
        <v>7</v>
      </c>
      <c r="D2502" t="s">
        <v>10</v>
      </c>
      <c r="E2502" s="2">
        <v>43336.322442129633</v>
      </c>
      <c r="F2502" t="s">
        <v>585</v>
      </c>
      <c r="G2502" t="s">
        <v>318</v>
      </c>
      <c r="H2502" t="s">
        <v>451</v>
      </c>
      <c r="I2502" t="s">
        <v>494</v>
      </c>
      <c r="J2502" t="s">
        <v>495</v>
      </c>
    </row>
    <row r="2503" spans="1:10" hidden="1" x14ac:dyDescent="0.25">
      <c r="A2503" t="s">
        <v>87</v>
      </c>
      <c r="B2503" t="s">
        <v>6</v>
      </c>
      <c r="C2503" t="s">
        <v>7</v>
      </c>
      <c r="D2503" t="s">
        <v>10</v>
      </c>
      <c r="E2503" s="2">
        <v>43336.322453703702</v>
      </c>
      <c r="F2503" t="s">
        <v>298</v>
      </c>
      <c r="G2503" t="s">
        <v>323</v>
      </c>
      <c r="H2503" t="s">
        <v>433</v>
      </c>
      <c r="I2503" t="s">
        <v>492</v>
      </c>
      <c r="J2503" t="s">
        <v>521</v>
      </c>
    </row>
    <row r="2504" spans="1:10" hidden="1" x14ac:dyDescent="0.25">
      <c r="A2504" t="s">
        <v>121</v>
      </c>
      <c r="B2504" t="s">
        <v>6</v>
      </c>
      <c r="C2504" t="s">
        <v>7</v>
      </c>
      <c r="D2504" t="s">
        <v>10</v>
      </c>
      <c r="E2504" s="2">
        <v>43336.32271990741</v>
      </c>
      <c r="F2504" t="s">
        <v>299</v>
      </c>
      <c r="G2504" t="s">
        <v>385</v>
      </c>
      <c r="H2504" t="s">
        <v>445</v>
      </c>
      <c r="I2504" t="s">
        <v>558</v>
      </c>
      <c r="J2504" t="s">
        <v>559</v>
      </c>
    </row>
    <row r="2505" spans="1:10" hidden="1" x14ac:dyDescent="0.25">
      <c r="A2505" t="s">
        <v>129</v>
      </c>
      <c r="B2505" t="s">
        <v>6</v>
      </c>
      <c r="C2505" t="s">
        <v>7</v>
      </c>
      <c r="D2505" t="s">
        <v>476</v>
      </c>
      <c r="E2505" s="2">
        <v>43336.322812500002</v>
      </c>
      <c r="F2505" t="s">
        <v>303</v>
      </c>
      <c r="G2505" t="s">
        <v>431</v>
      </c>
      <c r="H2505" t="s">
        <v>462</v>
      </c>
      <c r="I2505" t="s">
        <v>494</v>
      </c>
      <c r="J2505" t="s">
        <v>544</v>
      </c>
    </row>
    <row r="2506" spans="1:10" hidden="1" x14ac:dyDescent="0.25">
      <c r="A2506" t="s">
        <v>90</v>
      </c>
      <c r="B2506" t="s">
        <v>6</v>
      </c>
      <c r="C2506" t="s">
        <v>7</v>
      </c>
      <c r="D2506" t="s">
        <v>10</v>
      </c>
      <c r="E2506" s="2">
        <v>43336.322905092595</v>
      </c>
      <c r="F2506" t="s">
        <v>300</v>
      </c>
      <c r="G2506" t="s">
        <v>454</v>
      </c>
      <c r="H2506" t="s">
        <v>427</v>
      </c>
      <c r="I2506" t="s">
        <v>533</v>
      </c>
      <c r="J2506" t="s">
        <v>543</v>
      </c>
    </row>
    <row r="2507" spans="1:10" hidden="1" x14ac:dyDescent="0.25">
      <c r="A2507" t="s">
        <v>31</v>
      </c>
      <c r="B2507" t="s">
        <v>6</v>
      </c>
      <c r="C2507" t="s">
        <v>7</v>
      </c>
      <c r="D2507" t="s">
        <v>10</v>
      </c>
      <c r="E2507" s="2">
        <v>43336.323067129626</v>
      </c>
      <c r="F2507" t="s">
        <v>585</v>
      </c>
      <c r="G2507" t="s">
        <v>318</v>
      </c>
      <c r="H2507" t="s">
        <v>452</v>
      </c>
      <c r="I2507" t="s">
        <v>494</v>
      </c>
      <c r="J2507" t="s">
        <v>495</v>
      </c>
    </row>
    <row r="2508" spans="1:10" hidden="1" x14ac:dyDescent="0.25">
      <c r="A2508" t="s">
        <v>66</v>
      </c>
      <c r="B2508" t="s">
        <v>6</v>
      </c>
      <c r="C2508" t="s">
        <v>7</v>
      </c>
      <c r="D2508" t="s">
        <v>10</v>
      </c>
      <c r="E2508" s="2">
        <v>43336.323368055557</v>
      </c>
      <c r="F2508" t="s">
        <v>299</v>
      </c>
      <c r="G2508" t="s">
        <v>385</v>
      </c>
      <c r="H2508" t="s">
        <v>446</v>
      </c>
      <c r="I2508" t="s">
        <v>558</v>
      </c>
      <c r="J2508" t="s">
        <v>559</v>
      </c>
    </row>
    <row r="2509" spans="1:10" hidden="1" x14ac:dyDescent="0.25">
      <c r="A2509" t="s">
        <v>106</v>
      </c>
      <c r="B2509" t="s">
        <v>6</v>
      </c>
      <c r="C2509" t="s">
        <v>7</v>
      </c>
      <c r="D2509" t="s">
        <v>10</v>
      </c>
      <c r="E2509" s="2">
        <v>43336.323541666665</v>
      </c>
      <c r="F2509" t="s">
        <v>300</v>
      </c>
      <c r="G2509" t="s">
        <v>454</v>
      </c>
      <c r="H2509" t="s">
        <v>428</v>
      </c>
      <c r="I2509" t="s">
        <v>533</v>
      </c>
      <c r="J2509" t="s">
        <v>543</v>
      </c>
    </row>
    <row r="2510" spans="1:10" hidden="1" x14ac:dyDescent="0.25">
      <c r="A2510" t="s">
        <v>136</v>
      </c>
      <c r="B2510" t="s">
        <v>6</v>
      </c>
      <c r="C2510" t="s">
        <v>7</v>
      </c>
      <c r="D2510" t="s">
        <v>13</v>
      </c>
      <c r="E2510" s="2">
        <v>43336.323587962965</v>
      </c>
      <c r="F2510" t="s">
        <v>303</v>
      </c>
      <c r="G2510" t="s">
        <v>431</v>
      </c>
      <c r="H2510" t="s">
        <v>453</v>
      </c>
      <c r="I2510" t="s">
        <v>494</v>
      </c>
      <c r="J2510" t="s">
        <v>544</v>
      </c>
    </row>
    <row r="2511" spans="1:10" hidden="1" x14ac:dyDescent="0.25">
      <c r="A2511" t="s">
        <v>220</v>
      </c>
      <c r="B2511" t="s">
        <v>6</v>
      </c>
      <c r="C2511" t="s">
        <v>7</v>
      </c>
      <c r="D2511" t="s">
        <v>484</v>
      </c>
      <c r="E2511" s="2">
        <v>43336.323877314811</v>
      </c>
      <c r="F2511" t="s">
        <v>298</v>
      </c>
      <c r="G2511" t="s">
        <v>323</v>
      </c>
      <c r="H2511" t="s">
        <v>434</v>
      </c>
      <c r="I2511" t="s">
        <v>509</v>
      </c>
      <c r="J2511" t="s">
        <v>510</v>
      </c>
    </row>
    <row r="2512" spans="1:10" hidden="1" x14ac:dyDescent="0.25">
      <c r="A2512" t="s">
        <v>60</v>
      </c>
      <c r="B2512" t="s">
        <v>6</v>
      </c>
      <c r="C2512" t="s">
        <v>7</v>
      </c>
      <c r="D2512" t="s">
        <v>10</v>
      </c>
      <c r="E2512" s="2">
        <v>43336.324004629627</v>
      </c>
      <c r="F2512" t="s">
        <v>299</v>
      </c>
      <c r="G2512" t="s">
        <v>385</v>
      </c>
      <c r="H2512" t="s">
        <v>447</v>
      </c>
      <c r="I2512" t="s">
        <v>558</v>
      </c>
      <c r="J2512" t="s">
        <v>559</v>
      </c>
    </row>
    <row r="2513" spans="1:10" hidden="1" x14ac:dyDescent="0.25">
      <c r="A2513" t="s">
        <v>50</v>
      </c>
      <c r="B2513" t="s">
        <v>6</v>
      </c>
      <c r="C2513" t="s">
        <v>7</v>
      </c>
      <c r="D2513" t="s">
        <v>10</v>
      </c>
      <c r="E2513" s="2">
        <v>43336.324178240742</v>
      </c>
      <c r="F2513" t="s">
        <v>300</v>
      </c>
      <c r="G2513" t="s">
        <v>454</v>
      </c>
      <c r="H2513" t="s">
        <v>429</v>
      </c>
      <c r="I2513" t="s">
        <v>533</v>
      </c>
      <c r="J2513" t="s">
        <v>543</v>
      </c>
    </row>
    <row r="2514" spans="1:10" hidden="1" x14ac:dyDescent="0.25">
      <c r="A2514" t="s">
        <v>280</v>
      </c>
      <c r="B2514" t="s">
        <v>6</v>
      </c>
      <c r="C2514" t="s">
        <v>7</v>
      </c>
      <c r="D2514" t="s">
        <v>13</v>
      </c>
      <c r="E2514" s="2">
        <v>43336.32435185185</v>
      </c>
      <c r="F2514" t="s">
        <v>303</v>
      </c>
      <c r="G2514" t="s">
        <v>431</v>
      </c>
      <c r="H2514" t="s">
        <v>454</v>
      </c>
      <c r="I2514" t="s">
        <v>494</v>
      </c>
      <c r="J2514" t="s">
        <v>544</v>
      </c>
    </row>
    <row r="2515" spans="1:10" hidden="1" x14ac:dyDescent="0.25">
      <c r="A2515" t="s">
        <v>59</v>
      </c>
      <c r="B2515" t="s">
        <v>6</v>
      </c>
      <c r="C2515" t="s">
        <v>7</v>
      </c>
      <c r="D2515" t="s">
        <v>10</v>
      </c>
      <c r="E2515" s="2">
        <v>43336.324652777781</v>
      </c>
      <c r="F2515" t="s">
        <v>299</v>
      </c>
      <c r="G2515" t="s">
        <v>385</v>
      </c>
      <c r="H2515" t="s">
        <v>448</v>
      </c>
      <c r="I2515" t="s">
        <v>558</v>
      </c>
      <c r="J2515" t="s">
        <v>559</v>
      </c>
    </row>
    <row r="2516" spans="1:10" hidden="1" x14ac:dyDescent="0.25">
      <c r="A2516" t="s">
        <v>49</v>
      </c>
      <c r="B2516" t="s">
        <v>6</v>
      </c>
      <c r="C2516" t="s">
        <v>7</v>
      </c>
      <c r="D2516" t="s">
        <v>10</v>
      </c>
      <c r="E2516" s="2">
        <v>43336.324814814812</v>
      </c>
      <c r="F2516" t="s">
        <v>300</v>
      </c>
      <c r="G2516" t="s">
        <v>454</v>
      </c>
      <c r="H2516" t="s">
        <v>430</v>
      </c>
      <c r="I2516" t="s">
        <v>533</v>
      </c>
      <c r="J2516" t="s">
        <v>543</v>
      </c>
    </row>
    <row r="2517" spans="1:10" hidden="1" x14ac:dyDescent="0.25">
      <c r="A2517" t="s">
        <v>128</v>
      </c>
      <c r="B2517" t="s">
        <v>6</v>
      </c>
      <c r="C2517" t="s">
        <v>7</v>
      </c>
      <c r="D2517" t="s">
        <v>13</v>
      </c>
      <c r="E2517" s="2">
        <v>43336.325115740743</v>
      </c>
      <c r="F2517" t="s">
        <v>303</v>
      </c>
      <c r="G2517" t="s">
        <v>431</v>
      </c>
      <c r="H2517" t="s">
        <v>455</v>
      </c>
      <c r="I2517" t="s">
        <v>494</v>
      </c>
      <c r="J2517" t="s">
        <v>544</v>
      </c>
    </row>
    <row r="2518" spans="1:10" hidden="1" x14ac:dyDescent="0.25">
      <c r="A2518" t="s">
        <v>57</v>
      </c>
      <c r="B2518" t="s">
        <v>6</v>
      </c>
      <c r="C2518" t="s">
        <v>7</v>
      </c>
      <c r="D2518" t="s">
        <v>10</v>
      </c>
      <c r="E2518" s="2">
        <v>43336.325289351851</v>
      </c>
      <c r="F2518" t="s">
        <v>299</v>
      </c>
      <c r="G2518" t="s">
        <v>385</v>
      </c>
      <c r="H2518" t="s">
        <v>449</v>
      </c>
      <c r="I2518" t="s">
        <v>558</v>
      </c>
      <c r="J2518" t="s">
        <v>559</v>
      </c>
    </row>
    <row r="2519" spans="1:10" hidden="1" x14ac:dyDescent="0.25">
      <c r="A2519" t="s">
        <v>126</v>
      </c>
      <c r="B2519" t="s">
        <v>6</v>
      </c>
      <c r="C2519" t="s">
        <v>7</v>
      </c>
      <c r="D2519" t="s">
        <v>13</v>
      </c>
      <c r="E2519" s="2">
        <v>43336.325902777775</v>
      </c>
      <c r="F2519" t="s">
        <v>303</v>
      </c>
      <c r="G2519" t="s">
        <v>431</v>
      </c>
      <c r="H2519" t="s">
        <v>456</v>
      </c>
      <c r="I2519" t="s">
        <v>494</v>
      </c>
      <c r="J2519" t="s">
        <v>544</v>
      </c>
    </row>
    <row r="2520" spans="1:10" hidden="1" x14ac:dyDescent="0.25">
      <c r="A2520" t="s">
        <v>154</v>
      </c>
      <c r="B2520" t="s">
        <v>6</v>
      </c>
      <c r="C2520" t="s">
        <v>7</v>
      </c>
      <c r="D2520" t="s">
        <v>10</v>
      </c>
      <c r="E2520" s="2">
        <v>43336.325960648152</v>
      </c>
      <c r="F2520" t="s">
        <v>299</v>
      </c>
      <c r="G2520" t="s">
        <v>385</v>
      </c>
      <c r="H2520" t="s">
        <v>450</v>
      </c>
      <c r="I2520" t="s">
        <v>558</v>
      </c>
      <c r="J2520" t="s">
        <v>559</v>
      </c>
    </row>
    <row r="2521" spans="1:10" hidden="1" x14ac:dyDescent="0.25">
      <c r="A2521" t="s">
        <v>125</v>
      </c>
      <c r="B2521" t="s">
        <v>6</v>
      </c>
      <c r="C2521" t="s">
        <v>7</v>
      </c>
      <c r="D2521" t="s">
        <v>476</v>
      </c>
      <c r="E2521" s="2">
        <v>43336.326516203706</v>
      </c>
      <c r="F2521" t="s">
        <v>303</v>
      </c>
      <c r="G2521" t="s">
        <v>431</v>
      </c>
      <c r="H2521" t="s">
        <v>426</v>
      </c>
      <c r="I2521" t="s">
        <v>494</v>
      </c>
      <c r="J2521" t="s">
        <v>544</v>
      </c>
    </row>
    <row r="2522" spans="1:10" hidden="1" x14ac:dyDescent="0.25">
      <c r="A2522" t="s">
        <v>56</v>
      </c>
      <c r="B2522" t="s">
        <v>6</v>
      </c>
      <c r="C2522" t="s">
        <v>7</v>
      </c>
      <c r="D2522" t="s">
        <v>10</v>
      </c>
      <c r="E2522" s="2">
        <v>43336.326608796298</v>
      </c>
      <c r="F2522" t="s">
        <v>299</v>
      </c>
      <c r="G2522" t="s">
        <v>385</v>
      </c>
      <c r="H2522" t="s">
        <v>451</v>
      </c>
      <c r="I2522" t="s">
        <v>558</v>
      </c>
      <c r="J2522" t="s">
        <v>559</v>
      </c>
    </row>
    <row r="2523" spans="1:10" hidden="1" x14ac:dyDescent="0.25">
      <c r="A2523" t="s">
        <v>225</v>
      </c>
      <c r="B2523" t="s">
        <v>6</v>
      </c>
      <c r="C2523" t="s">
        <v>7</v>
      </c>
      <c r="D2523" t="s">
        <v>484</v>
      </c>
      <c r="E2523" s="2">
        <v>43336.33766203704</v>
      </c>
      <c r="F2523" t="s">
        <v>298</v>
      </c>
      <c r="G2523" t="s">
        <v>385</v>
      </c>
      <c r="H2523" t="s">
        <v>435</v>
      </c>
      <c r="I2523" t="s">
        <v>492</v>
      </c>
      <c r="J2523" t="s">
        <v>493</v>
      </c>
    </row>
    <row r="2524" spans="1:10" hidden="1" x14ac:dyDescent="0.25">
      <c r="A2524" t="s">
        <v>55</v>
      </c>
      <c r="B2524" t="s">
        <v>6</v>
      </c>
      <c r="C2524" t="s">
        <v>7</v>
      </c>
      <c r="D2524" t="s">
        <v>10</v>
      </c>
      <c r="E2524" s="2">
        <v>43336.337835648148</v>
      </c>
      <c r="F2524" t="s">
        <v>299</v>
      </c>
      <c r="G2524" t="s">
        <v>457</v>
      </c>
      <c r="H2524" t="s">
        <v>452</v>
      </c>
      <c r="I2524" t="s">
        <v>558</v>
      </c>
      <c r="J2524" t="s">
        <v>562</v>
      </c>
    </row>
    <row r="2525" spans="1:10" hidden="1" x14ac:dyDescent="0.25">
      <c r="A2525" t="s">
        <v>229</v>
      </c>
      <c r="B2525" t="s">
        <v>6</v>
      </c>
      <c r="C2525" t="s">
        <v>7</v>
      </c>
      <c r="D2525" t="s">
        <v>10</v>
      </c>
      <c r="E2525" s="2">
        <v>43336.338287037041</v>
      </c>
      <c r="F2525" t="s">
        <v>298</v>
      </c>
      <c r="G2525" t="s">
        <v>385</v>
      </c>
      <c r="H2525" t="s">
        <v>436</v>
      </c>
      <c r="I2525" t="s">
        <v>492</v>
      </c>
      <c r="J2525" t="s">
        <v>493</v>
      </c>
    </row>
    <row r="2526" spans="1:10" hidden="1" x14ac:dyDescent="0.25">
      <c r="A2526" t="s">
        <v>111</v>
      </c>
      <c r="B2526" t="s">
        <v>6</v>
      </c>
      <c r="C2526" t="s">
        <v>7</v>
      </c>
      <c r="D2526" t="s">
        <v>10</v>
      </c>
      <c r="E2526" s="2">
        <v>43336.338483796295</v>
      </c>
      <c r="F2526" t="s">
        <v>299</v>
      </c>
      <c r="G2526" t="s">
        <v>457</v>
      </c>
      <c r="H2526" t="s">
        <v>318</v>
      </c>
      <c r="I2526" t="s">
        <v>492</v>
      </c>
      <c r="J2526" t="s">
        <v>493</v>
      </c>
    </row>
    <row r="2527" spans="1:10" hidden="1" x14ac:dyDescent="0.25">
      <c r="A2527" t="s">
        <v>272</v>
      </c>
      <c r="B2527" t="s">
        <v>6</v>
      </c>
      <c r="C2527" t="s">
        <v>7</v>
      </c>
      <c r="D2527" t="s">
        <v>10</v>
      </c>
      <c r="E2527" s="2">
        <v>43336.338553240741</v>
      </c>
      <c r="F2527" t="s">
        <v>300</v>
      </c>
      <c r="G2527" t="s">
        <v>454</v>
      </c>
      <c r="H2527" t="s">
        <v>431</v>
      </c>
      <c r="I2527" t="s">
        <v>494</v>
      </c>
      <c r="J2527" t="s">
        <v>582</v>
      </c>
    </row>
    <row r="2528" spans="1:10" hidden="1" x14ac:dyDescent="0.25">
      <c r="A2528" t="s">
        <v>223</v>
      </c>
      <c r="B2528" t="s">
        <v>6</v>
      </c>
      <c r="C2528" t="s">
        <v>7</v>
      </c>
      <c r="D2528" t="s">
        <v>10</v>
      </c>
      <c r="E2528" s="2">
        <v>43336.338900462964</v>
      </c>
      <c r="F2528" t="s">
        <v>298</v>
      </c>
      <c r="G2528" t="s">
        <v>385</v>
      </c>
      <c r="H2528" t="s">
        <v>437</v>
      </c>
      <c r="I2528" t="s">
        <v>509</v>
      </c>
      <c r="J2528" t="s">
        <v>510</v>
      </c>
    </row>
    <row r="2529" spans="1:10" hidden="1" x14ac:dyDescent="0.25">
      <c r="A2529" t="s">
        <v>110</v>
      </c>
      <c r="B2529" t="s">
        <v>6</v>
      </c>
      <c r="C2529" t="s">
        <v>7</v>
      </c>
      <c r="D2529" t="s">
        <v>476</v>
      </c>
      <c r="E2529" s="2">
        <v>43336.339131944442</v>
      </c>
      <c r="F2529" t="s">
        <v>299</v>
      </c>
      <c r="G2529" t="s">
        <v>457</v>
      </c>
      <c r="H2529" t="s">
        <v>323</v>
      </c>
      <c r="I2529" t="s">
        <v>492</v>
      </c>
      <c r="J2529" t="s">
        <v>493</v>
      </c>
    </row>
    <row r="2530" spans="1:10" hidden="1" x14ac:dyDescent="0.25">
      <c r="A2530" t="s">
        <v>282</v>
      </c>
      <c r="B2530" t="s">
        <v>6</v>
      </c>
      <c r="C2530" t="s">
        <v>7</v>
      </c>
      <c r="D2530" t="s">
        <v>10</v>
      </c>
      <c r="E2530" s="2">
        <v>43336.339166666665</v>
      </c>
      <c r="F2530" t="s">
        <v>300</v>
      </c>
      <c r="G2530" t="s">
        <v>454</v>
      </c>
      <c r="H2530" t="s">
        <v>432</v>
      </c>
      <c r="I2530" t="s">
        <v>494</v>
      </c>
      <c r="J2530" t="s">
        <v>582</v>
      </c>
    </row>
    <row r="2531" spans="1:10" hidden="1" x14ac:dyDescent="0.25">
      <c r="A2531" t="s">
        <v>284</v>
      </c>
      <c r="B2531" t="s">
        <v>6</v>
      </c>
      <c r="C2531" t="s">
        <v>7</v>
      </c>
      <c r="D2531" t="s">
        <v>13</v>
      </c>
      <c r="E2531" s="2">
        <v>43336.339259259257</v>
      </c>
      <c r="F2531" t="s">
        <v>303</v>
      </c>
      <c r="G2531" t="s">
        <v>432</v>
      </c>
      <c r="H2531" t="s">
        <v>427</v>
      </c>
      <c r="I2531" t="s">
        <v>494</v>
      </c>
      <c r="J2531" t="s">
        <v>544</v>
      </c>
    </row>
    <row r="2532" spans="1:10" hidden="1" x14ac:dyDescent="0.25">
      <c r="A2532" t="s">
        <v>167</v>
      </c>
      <c r="B2532" t="s">
        <v>6</v>
      </c>
      <c r="C2532" t="s">
        <v>7</v>
      </c>
      <c r="D2532" t="s">
        <v>10</v>
      </c>
      <c r="E2532" s="2">
        <v>43336.339502314811</v>
      </c>
      <c r="F2532" t="s">
        <v>298</v>
      </c>
      <c r="G2532" t="s">
        <v>385</v>
      </c>
      <c r="H2532" t="s">
        <v>438</v>
      </c>
      <c r="I2532" t="s">
        <v>492</v>
      </c>
      <c r="J2532" t="s">
        <v>493</v>
      </c>
    </row>
    <row r="2533" spans="1:10" hidden="1" x14ac:dyDescent="0.25">
      <c r="A2533" t="s">
        <v>245</v>
      </c>
      <c r="B2533" t="s">
        <v>6</v>
      </c>
      <c r="C2533" t="s">
        <v>7</v>
      </c>
      <c r="D2533" t="s">
        <v>10</v>
      </c>
      <c r="E2533" s="2">
        <v>43336.339780092596</v>
      </c>
      <c r="F2533" t="s">
        <v>300</v>
      </c>
      <c r="G2533" t="s">
        <v>454</v>
      </c>
      <c r="H2533" t="s">
        <v>433</v>
      </c>
      <c r="I2533" t="s">
        <v>494</v>
      </c>
      <c r="J2533" t="s">
        <v>582</v>
      </c>
    </row>
    <row r="2534" spans="1:10" hidden="1" x14ac:dyDescent="0.25">
      <c r="A2534" t="s">
        <v>109</v>
      </c>
      <c r="B2534" t="s">
        <v>6</v>
      </c>
      <c r="C2534" t="s">
        <v>7</v>
      </c>
      <c r="D2534" t="s">
        <v>10</v>
      </c>
      <c r="E2534" s="2">
        <v>43336.339791666665</v>
      </c>
      <c r="F2534" t="s">
        <v>299</v>
      </c>
      <c r="G2534" t="s">
        <v>457</v>
      </c>
      <c r="H2534" t="s">
        <v>385</v>
      </c>
      <c r="I2534" t="s">
        <v>533</v>
      </c>
      <c r="J2534" t="s">
        <v>543</v>
      </c>
    </row>
    <row r="2535" spans="1:10" hidden="1" x14ac:dyDescent="0.25">
      <c r="A2535" t="s">
        <v>215</v>
      </c>
      <c r="B2535" t="s">
        <v>6</v>
      </c>
      <c r="C2535" t="s">
        <v>7</v>
      </c>
      <c r="D2535" t="s">
        <v>10</v>
      </c>
      <c r="E2535" s="2">
        <v>43336.339872685188</v>
      </c>
      <c r="F2535" t="s">
        <v>303</v>
      </c>
      <c r="G2535" t="s">
        <v>432</v>
      </c>
      <c r="H2535" t="s">
        <v>428</v>
      </c>
      <c r="I2535" t="s">
        <v>494</v>
      </c>
      <c r="J2535" t="s">
        <v>501</v>
      </c>
    </row>
    <row r="2536" spans="1:10" hidden="1" x14ac:dyDescent="0.25">
      <c r="A2536" t="s">
        <v>172</v>
      </c>
      <c r="B2536" t="s">
        <v>6</v>
      </c>
      <c r="C2536" t="s">
        <v>7</v>
      </c>
      <c r="D2536" t="s">
        <v>10</v>
      </c>
      <c r="E2536" s="2">
        <v>43336.339942129627</v>
      </c>
      <c r="F2536" t="s">
        <v>585</v>
      </c>
      <c r="G2536" t="s">
        <v>318</v>
      </c>
      <c r="H2536" t="s">
        <v>318</v>
      </c>
      <c r="I2536" t="s">
        <v>494</v>
      </c>
      <c r="J2536" t="s">
        <v>501</v>
      </c>
    </row>
    <row r="2537" spans="1:10" hidden="1" x14ac:dyDescent="0.25">
      <c r="A2537" t="s">
        <v>165</v>
      </c>
      <c r="B2537" t="s">
        <v>6</v>
      </c>
      <c r="C2537" t="s">
        <v>7</v>
      </c>
      <c r="D2537" t="s">
        <v>10</v>
      </c>
      <c r="E2537" s="2">
        <v>43336.340115740742</v>
      </c>
      <c r="F2537" t="s">
        <v>298</v>
      </c>
      <c r="G2537" t="s">
        <v>385</v>
      </c>
      <c r="H2537" t="s">
        <v>439</v>
      </c>
      <c r="I2537" t="s">
        <v>492</v>
      </c>
      <c r="J2537" t="s">
        <v>493</v>
      </c>
    </row>
    <row r="2538" spans="1:10" hidden="1" x14ac:dyDescent="0.25">
      <c r="A2538" t="s">
        <v>246</v>
      </c>
      <c r="B2538" t="s">
        <v>6</v>
      </c>
      <c r="C2538" t="s">
        <v>7</v>
      </c>
      <c r="D2538" t="s">
        <v>10</v>
      </c>
      <c r="E2538" s="2">
        <v>43336.340405092589</v>
      </c>
      <c r="F2538" t="s">
        <v>300</v>
      </c>
      <c r="G2538" t="s">
        <v>454</v>
      </c>
      <c r="H2538" t="s">
        <v>434</v>
      </c>
      <c r="I2538" t="s">
        <v>494</v>
      </c>
      <c r="J2538" t="s">
        <v>582</v>
      </c>
    </row>
    <row r="2539" spans="1:10" hidden="1" x14ac:dyDescent="0.25">
      <c r="A2539" t="s">
        <v>104</v>
      </c>
      <c r="B2539" t="s">
        <v>6</v>
      </c>
      <c r="C2539" t="s">
        <v>7</v>
      </c>
      <c r="D2539" t="s">
        <v>10</v>
      </c>
      <c r="E2539" s="2">
        <v>43336.340416666666</v>
      </c>
      <c r="F2539" t="s">
        <v>299</v>
      </c>
      <c r="G2539" t="s">
        <v>457</v>
      </c>
      <c r="H2539" t="s">
        <v>457</v>
      </c>
      <c r="I2539" t="s">
        <v>533</v>
      </c>
      <c r="J2539" t="s">
        <v>543</v>
      </c>
    </row>
    <row r="2540" spans="1:10" hidden="1" x14ac:dyDescent="0.25">
      <c r="A2540" t="s">
        <v>285</v>
      </c>
      <c r="B2540" t="s">
        <v>6</v>
      </c>
      <c r="C2540" t="s">
        <v>7</v>
      </c>
      <c r="D2540" t="s">
        <v>10</v>
      </c>
      <c r="E2540" s="2">
        <v>43336.340486111112</v>
      </c>
      <c r="F2540" t="s">
        <v>303</v>
      </c>
      <c r="G2540" t="s">
        <v>432</v>
      </c>
      <c r="H2540" t="s">
        <v>429</v>
      </c>
      <c r="I2540" t="s">
        <v>494</v>
      </c>
      <c r="J2540" t="s">
        <v>501</v>
      </c>
    </row>
    <row r="2541" spans="1:10" hidden="1" x14ac:dyDescent="0.25">
      <c r="A2541" t="s">
        <v>171</v>
      </c>
      <c r="B2541" t="s">
        <v>6</v>
      </c>
      <c r="C2541" t="s">
        <v>7</v>
      </c>
      <c r="D2541" t="s">
        <v>10</v>
      </c>
      <c r="E2541" s="2">
        <v>43336.340567129628</v>
      </c>
      <c r="F2541" t="s">
        <v>585</v>
      </c>
      <c r="G2541" t="s">
        <v>318</v>
      </c>
      <c r="H2541" t="s">
        <v>323</v>
      </c>
      <c r="I2541" t="s">
        <v>494</v>
      </c>
      <c r="J2541" t="s">
        <v>501</v>
      </c>
    </row>
    <row r="2542" spans="1:10" hidden="1" x14ac:dyDescent="0.25">
      <c r="A2542" t="s">
        <v>227</v>
      </c>
      <c r="B2542" t="s">
        <v>6</v>
      </c>
      <c r="C2542" t="s">
        <v>7</v>
      </c>
      <c r="D2542" t="s">
        <v>10</v>
      </c>
      <c r="E2542" s="2">
        <v>43336.340729166666</v>
      </c>
      <c r="F2542" t="s">
        <v>298</v>
      </c>
      <c r="G2542" t="s">
        <v>385</v>
      </c>
      <c r="H2542" t="s">
        <v>440</v>
      </c>
      <c r="I2542" t="s">
        <v>492</v>
      </c>
      <c r="J2542" t="s">
        <v>493</v>
      </c>
    </row>
    <row r="2543" spans="1:10" hidden="1" x14ac:dyDescent="0.25">
      <c r="A2543" t="s">
        <v>247</v>
      </c>
      <c r="B2543" t="s">
        <v>6</v>
      </c>
      <c r="C2543" t="s">
        <v>7</v>
      </c>
      <c r="D2543" t="s">
        <v>10</v>
      </c>
      <c r="E2543" s="2">
        <v>43336.341006944444</v>
      </c>
      <c r="F2543" t="s">
        <v>300</v>
      </c>
      <c r="G2543" t="s">
        <v>454</v>
      </c>
      <c r="H2543" t="s">
        <v>435</v>
      </c>
      <c r="I2543" t="s">
        <v>494</v>
      </c>
      <c r="J2543" t="s">
        <v>582</v>
      </c>
    </row>
    <row r="2544" spans="1:10" hidden="1" x14ac:dyDescent="0.25">
      <c r="A2544" t="s">
        <v>214</v>
      </c>
      <c r="B2544" t="s">
        <v>6</v>
      </c>
      <c r="C2544" t="s">
        <v>7</v>
      </c>
      <c r="D2544" t="s">
        <v>10</v>
      </c>
      <c r="E2544" s="2">
        <v>43336.341099537036</v>
      </c>
      <c r="F2544" t="s">
        <v>303</v>
      </c>
      <c r="G2544" t="s">
        <v>432</v>
      </c>
      <c r="H2544" t="s">
        <v>430</v>
      </c>
      <c r="I2544" t="s">
        <v>494</v>
      </c>
      <c r="J2544" t="s">
        <v>501</v>
      </c>
    </row>
    <row r="2545" spans="1:10" hidden="1" x14ac:dyDescent="0.25">
      <c r="A2545" t="s">
        <v>207</v>
      </c>
      <c r="B2545" t="s">
        <v>6</v>
      </c>
      <c r="C2545" t="s">
        <v>7</v>
      </c>
      <c r="D2545" t="s">
        <v>10</v>
      </c>
      <c r="E2545" s="2">
        <v>43336.341168981482</v>
      </c>
      <c r="F2545" t="s">
        <v>585</v>
      </c>
      <c r="G2545" t="s">
        <v>318</v>
      </c>
      <c r="H2545" t="s">
        <v>385</v>
      </c>
      <c r="I2545" t="s">
        <v>494</v>
      </c>
      <c r="J2545" t="s">
        <v>501</v>
      </c>
    </row>
    <row r="2546" spans="1:10" hidden="1" x14ac:dyDescent="0.25">
      <c r="A2546" t="s">
        <v>164</v>
      </c>
      <c r="B2546" t="s">
        <v>6</v>
      </c>
      <c r="C2546" t="s">
        <v>7</v>
      </c>
      <c r="D2546" t="s">
        <v>10</v>
      </c>
      <c r="E2546" s="2">
        <v>43336.34134259259</v>
      </c>
      <c r="F2546" t="s">
        <v>298</v>
      </c>
      <c r="G2546" t="s">
        <v>385</v>
      </c>
      <c r="H2546" t="s">
        <v>441</v>
      </c>
      <c r="I2546" t="s">
        <v>492</v>
      </c>
      <c r="J2546" t="s">
        <v>493</v>
      </c>
    </row>
    <row r="2547" spans="1:10" hidden="1" x14ac:dyDescent="0.25">
      <c r="A2547" t="s">
        <v>80</v>
      </c>
      <c r="B2547" t="s">
        <v>6</v>
      </c>
      <c r="C2547" t="s">
        <v>7</v>
      </c>
      <c r="D2547" t="s">
        <v>476</v>
      </c>
      <c r="E2547" s="2">
        <v>43336.341354166667</v>
      </c>
      <c r="F2547" t="s">
        <v>591</v>
      </c>
      <c r="G2547" t="s">
        <v>323</v>
      </c>
      <c r="H2547" t="s">
        <v>461</v>
      </c>
      <c r="I2547" t="s">
        <v>497</v>
      </c>
      <c r="J2547" t="s">
        <v>497</v>
      </c>
    </row>
    <row r="2548" spans="1:10" hidden="1" x14ac:dyDescent="0.25">
      <c r="A2548" t="s">
        <v>248</v>
      </c>
      <c r="B2548" t="s">
        <v>6</v>
      </c>
      <c r="C2548" t="s">
        <v>7</v>
      </c>
      <c r="D2548" t="s">
        <v>10</v>
      </c>
      <c r="E2548" s="2">
        <v>43336.34165509259</v>
      </c>
      <c r="F2548" t="s">
        <v>300</v>
      </c>
      <c r="G2548" t="s">
        <v>454</v>
      </c>
      <c r="H2548" t="s">
        <v>436</v>
      </c>
      <c r="I2548" t="s">
        <v>494</v>
      </c>
      <c r="J2548" t="s">
        <v>582</v>
      </c>
    </row>
    <row r="2549" spans="1:10" hidden="1" x14ac:dyDescent="0.25">
      <c r="A2549" t="s">
        <v>213</v>
      </c>
      <c r="B2549" t="s">
        <v>6</v>
      </c>
      <c r="C2549" t="s">
        <v>7</v>
      </c>
      <c r="D2549" t="s">
        <v>10</v>
      </c>
      <c r="E2549" s="2">
        <v>43336.341724537036</v>
      </c>
      <c r="F2549" t="s">
        <v>303</v>
      </c>
      <c r="G2549" t="s">
        <v>432</v>
      </c>
      <c r="H2549" t="s">
        <v>431</v>
      </c>
      <c r="I2549" t="s">
        <v>494</v>
      </c>
      <c r="J2549" t="s">
        <v>501</v>
      </c>
    </row>
    <row r="2550" spans="1:10" hidden="1" x14ac:dyDescent="0.25">
      <c r="A2550" t="s">
        <v>137</v>
      </c>
      <c r="B2550" t="s">
        <v>6</v>
      </c>
      <c r="C2550" t="s">
        <v>7</v>
      </c>
      <c r="D2550" t="s">
        <v>10</v>
      </c>
      <c r="E2550" s="2">
        <v>43336.341793981483</v>
      </c>
      <c r="F2550" t="s">
        <v>585</v>
      </c>
      <c r="G2550" t="s">
        <v>318</v>
      </c>
      <c r="H2550" t="s">
        <v>457</v>
      </c>
      <c r="I2550" t="s">
        <v>494</v>
      </c>
      <c r="J2550" t="s">
        <v>501</v>
      </c>
    </row>
    <row r="2551" spans="1:10" hidden="1" x14ac:dyDescent="0.25">
      <c r="A2551" t="s">
        <v>168</v>
      </c>
      <c r="B2551" t="s">
        <v>6</v>
      </c>
      <c r="C2551" t="s">
        <v>7</v>
      </c>
      <c r="D2551" t="s">
        <v>10</v>
      </c>
      <c r="E2551" s="2">
        <v>43336.341944444444</v>
      </c>
      <c r="F2551" t="s">
        <v>298</v>
      </c>
      <c r="G2551" t="s">
        <v>385</v>
      </c>
      <c r="H2551" t="s">
        <v>442</v>
      </c>
      <c r="I2551" t="s">
        <v>492</v>
      </c>
      <c r="J2551" t="s">
        <v>500</v>
      </c>
    </row>
    <row r="2552" spans="1:10" hidden="1" x14ac:dyDescent="0.25">
      <c r="A2552" t="s">
        <v>311</v>
      </c>
      <c r="B2552" t="s">
        <v>6</v>
      </c>
      <c r="C2552" t="s">
        <v>7</v>
      </c>
      <c r="D2552" t="s">
        <v>10</v>
      </c>
      <c r="E2552" s="2">
        <v>43336.341990740744</v>
      </c>
      <c r="F2552" t="s">
        <v>586</v>
      </c>
      <c r="G2552" t="s">
        <v>323</v>
      </c>
      <c r="H2552" t="s">
        <v>428</v>
      </c>
      <c r="I2552" t="s">
        <v>490</v>
      </c>
      <c r="J2552" t="s">
        <v>491</v>
      </c>
    </row>
    <row r="2553" spans="1:10" hidden="1" x14ac:dyDescent="0.25">
      <c r="A2553" t="s">
        <v>249</v>
      </c>
      <c r="B2553" t="s">
        <v>6</v>
      </c>
      <c r="C2553" t="s">
        <v>7</v>
      </c>
      <c r="D2553" t="s">
        <v>476</v>
      </c>
      <c r="E2553" s="2">
        <v>43336.342268518521</v>
      </c>
      <c r="F2553" t="s">
        <v>300</v>
      </c>
      <c r="G2553" t="s">
        <v>454</v>
      </c>
      <c r="H2553" t="s">
        <v>437</v>
      </c>
      <c r="I2553" t="s">
        <v>494</v>
      </c>
      <c r="J2553" t="s">
        <v>583</v>
      </c>
    </row>
    <row r="2554" spans="1:10" hidden="1" x14ac:dyDescent="0.25">
      <c r="A2554" t="s">
        <v>212</v>
      </c>
      <c r="B2554" t="s">
        <v>6</v>
      </c>
      <c r="C2554" t="s">
        <v>7</v>
      </c>
      <c r="D2554" t="s">
        <v>10</v>
      </c>
      <c r="E2554" s="2">
        <v>43336.342349537037</v>
      </c>
      <c r="F2554" t="s">
        <v>303</v>
      </c>
      <c r="G2554" t="s">
        <v>432</v>
      </c>
      <c r="H2554" t="s">
        <v>432</v>
      </c>
      <c r="I2554" t="s">
        <v>494</v>
      </c>
      <c r="J2554" t="s">
        <v>501</v>
      </c>
    </row>
    <row r="2555" spans="1:10" hidden="1" x14ac:dyDescent="0.25">
      <c r="A2555" t="s">
        <v>143</v>
      </c>
      <c r="B2555" t="s">
        <v>6</v>
      </c>
      <c r="C2555" t="s">
        <v>7</v>
      </c>
      <c r="D2555" t="s">
        <v>10</v>
      </c>
      <c r="E2555" s="2">
        <v>43336.342395833337</v>
      </c>
      <c r="F2555" t="s">
        <v>585</v>
      </c>
      <c r="G2555" t="s">
        <v>318</v>
      </c>
      <c r="H2555" t="s">
        <v>458</v>
      </c>
      <c r="I2555" t="s">
        <v>494</v>
      </c>
      <c r="J2555" t="s">
        <v>501</v>
      </c>
    </row>
    <row r="2556" spans="1:10" hidden="1" x14ac:dyDescent="0.25">
      <c r="A2556" t="s">
        <v>163</v>
      </c>
      <c r="B2556" t="s">
        <v>6</v>
      </c>
      <c r="C2556" t="s">
        <v>7</v>
      </c>
      <c r="D2556" t="s">
        <v>10</v>
      </c>
      <c r="E2556" s="2">
        <v>43336.342557870368</v>
      </c>
      <c r="F2556" t="s">
        <v>298</v>
      </c>
      <c r="G2556" t="s">
        <v>385</v>
      </c>
      <c r="H2556" t="s">
        <v>443</v>
      </c>
      <c r="I2556" t="s">
        <v>492</v>
      </c>
      <c r="J2556" t="s">
        <v>493</v>
      </c>
    </row>
    <row r="2557" spans="1:10" hidden="1" x14ac:dyDescent="0.25">
      <c r="A2557" t="s">
        <v>312</v>
      </c>
      <c r="B2557" t="s">
        <v>6</v>
      </c>
      <c r="C2557" t="s">
        <v>7</v>
      </c>
      <c r="D2557" t="s">
        <v>10</v>
      </c>
      <c r="E2557" s="2">
        <v>43336.342581018522</v>
      </c>
      <c r="F2557" t="s">
        <v>586</v>
      </c>
      <c r="G2557" t="s">
        <v>323</v>
      </c>
      <c r="H2557" t="s">
        <v>429</v>
      </c>
      <c r="I2557" t="s">
        <v>490</v>
      </c>
      <c r="J2557" t="s">
        <v>491</v>
      </c>
    </row>
    <row r="2558" spans="1:10" hidden="1" x14ac:dyDescent="0.25">
      <c r="A2558" t="s">
        <v>320</v>
      </c>
      <c r="B2558" t="s">
        <v>6</v>
      </c>
      <c r="C2558" t="s">
        <v>7</v>
      </c>
      <c r="D2558" t="s">
        <v>10</v>
      </c>
      <c r="E2558" s="2">
        <v>43336.342638888891</v>
      </c>
      <c r="F2558" t="s">
        <v>587</v>
      </c>
      <c r="G2558" t="s">
        <v>460</v>
      </c>
      <c r="H2558" t="s">
        <v>385</v>
      </c>
      <c r="I2558" t="s">
        <v>490</v>
      </c>
      <c r="J2558" t="s">
        <v>491</v>
      </c>
    </row>
    <row r="2559" spans="1:10" hidden="1" x14ac:dyDescent="0.25">
      <c r="A2559" t="s">
        <v>250</v>
      </c>
      <c r="B2559" t="s">
        <v>6</v>
      </c>
      <c r="C2559" t="s">
        <v>7</v>
      </c>
      <c r="D2559" t="s">
        <v>10</v>
      </c>
      <c r="E2559" s="2">
        <v>43336.342870370368</v>
      </c>
      <c r="F2559" t="s">
        <v>300</v>
      </c>
      <c r="G2559" t="s">
        <v>454</v>
      </c>
      <c r="H2559" t="s">
        <v>438</v>
      </c>
      <c r="I2559" t="s">
        <v>494</v>
      </c>
      <c r="J2559" t="s">
        <v>583</v>
      </c>
    </row>
    <row r="2560" spans="1:10" hidden="1" x14ac:dyDescent="0.25">
      <c r="A2560" t="s">
        <v>286</v>
      </c>
      <c r="B2560" t="s">
        <v>6</v>
      </c>
      <c r="C2560" t="s">
        <v>7</v>
      </c>
      <c r="D2560" t="s">
        <v>10</v>
      </c>
      <c r="E2560" s="2">
        <v>43336.342974537038</v>
      </c>
      <c r="F2560" t="s">
        <v>303</v>
      </c>
      <c r="G2560" t="s">
        <v>432</v>
      </c>
      <c r="H2560" t="s">
        <v>433</v>
      </c>
      <c r="I2560" t="s">
        <v>494</v>
      </c>
      <c r="J2560" t="s">
        <v>501</v>
      </c>
    </row>
    <row r="2561" spans="1:10" hidden="1" x14ac:dyDescent="0.25">
      <c r="A2561" t="s">
        <v>206</v>
      </c>
      <c r="B2561" t="s">
        <v>6</v>
      </c>
      <c r="C2561" t="s">
        <v>7</v>
      </c>
      <c r="D2561" t="s">
        <v>10</v>
      </c>
      <c r="E2561" s="2">
        <v>43336.343009259261</v>
      </c>
      <c r="F2561" t="s">
        <v>585</v>
      </c>
      <c r="G2561" t="s">
        <v>318</v>
      </c>
      <c r="H2561" t="s">
        <v>459</v>
      </c>
      <c r="I2561" t="s">
        <v>494</v>
      </c>
      <c r="J2561" t="s">
        <v>501</v>
      </c>
    </row>
    <row r="2562" spans="1:10" hidden="1" x14ac:dyDescent="0.25">
      <c r="A2562" t="s">
        <v>313</v>
      </c>
      <c r="B2562" t="s">
        <v>6</v>
      </c>
      <c r="C2562" t="s">
        <v>7</v>
      </c>
      <c r="D2562" t="s">
        <v>476</v>
      </c>
      <c r="E2562" s="2">
        <v>43336.343171296299</v>
      </c>
      <c r="F2562" t="s">
        <v>586</v>
      </c>
      <c r="G2562" t="s">
        <v>323</v>
      </c>
      <c r="H2562" t="s">
        <v>430</v>
      </c>
      <c r="I2562" t="s">
        <v>490</v>
      </c>
      <c r="J2562" t="s">
        <v>491</v>
      </c>
    </row>
    <row r="2563" spans="1:10" hidden="1" x14ac:dyDescent="0.25">
      <c r="A2563" t="s">
        <v>218</v>
      </c>
      <c r="B2563" t="s">
        <v>6</v>
      </c>
      <c r="C2563" t="s">
        <v>7</v>
      </c>
      <c r="D2563" t="s">
        <v>27</v>
      </c>
      <c r="E2563" s="2">
        <v>43336.343368055554</v>
      </c>
      <c r="F2563" t="s">
        <v>298</v>
      </c>
      <c r="G2563" t="s">
        <v>385</v>
      </c>
      <c r="H2563" t="s">
        <v>444</v>
      </c>
      <c r="I2563" t="s">
        <v>492</v>
      </c>
      <c r="J2563" t="s">
        <v>493</v>
      </c>
    </row>
    <row r="2564" spans="1:10" hidden="1" x14ac:dyDescent="0.25">
      <c r="A2564" t="s">
        <v>251</v>
      </c>
      <c r="B2564" t="s">
        <v>6</v>
      </c>
      <c r="C2564" t="s">
        <v>7</v>
      </c>
      <c r="D2564" t="s">
        <v>476</v>
      </c>
      <c r="E2564" s="2">
        <v>43336.3434837963</v>
      </c>
      <c r="F2564" t="s">
        <v>300</v>
      </c>
      <c r="G2564" t="s">
        <v>454</v>
      </c>
      <c r="H2564" t="s">
        <v>439</v>
      </c>
      <c r="I2564" t="s">
        <v>494</v>
      </c>
      <c r="J2564" t="s">
        <v>583</v>
      </c>
    </row>
    <row r="2565" spans="1:10" hidden="1" x14ac:dyDescent="0.25">
      <c r="A2565" t="s">
        <v>189</v>
      </c>
      <c r="B2565" t="s">
        <v>6</v>
      </c>
      <c r="C2565" t="s">
        <v>7</v>
      </c>
      <c r="D2565" t="s">
        <v>10</v>
      </c>
      <c r="E2565" s="2">
        <v>43336.343599537038</v>
      </c>
      <c r="F2565" t="s">
        <v>303</v>
      </c>
      <c r="G2565" t="s">
        <v>432</v>
      </c>
      <c r="H2565" t="s">
        <v>434</v>
      </c>
      <c r="I2565" t="s">
        <v>494</v>
      </c>
      <c r="J2565" t="s">
        <v>501</v>
      </c>
    </row>
    <row r="2566" spans="1:10" hidden="1" x14ac:dyDescent="0.25">
      <c r="A2566" t="s">
        <v>48</v>
      </c>
      <c r="B2566" t="s">
        <v>6</v>
      </c>
      <c r="C2566" t="s">
        <v>7</v>
      </c>
      <c r="D2566" t="s">
        <v>10</v>
      </c>
      <c r="E2566" s="2">
        <v>43336.343622685185</v>
      </c>
      <c r="F2566" t="s">
        <v>585</v>
      </c>
      <c r="G2566" t="s">
        <v>318</v>
      </c>
      <c r="H2566" t="s">
        <v>460</v>
      </c>
      <c r="I2566" t="s">
        <v>494</v>
      </c>
      <c r="J2566" t="s">
        <v>501</v>
      </c>
    </row>
    <row r="2567" spans="1:10" hidden="1" x14ac:dyDescent="0.25">
      <c r="A2567" t="s">
        <v>314</v>
      </c>
      <c r="B2567" t="s">
        <v>6</v>
      </c>
      <c r="C2567" t="s">
        <v>7</v>
      </c>
      <c r="D2567" t="s">
        <v>476</v>
      </c>
      <c r="E2567" s="2">
        <v>43336.343784722223</v>
      </c>
      <c r="F2567" t="s">
        <v>586</v>
      </c>
      <c r="G2567" t="s">
        <v>323</v>
      </c>
      <c r="H2567" t="s">
        <v>431</v>
      </c>
      <c r="I2567" t="s">
        <v>490</v>
      </c>
      <c r="J2567" t="s">
        <v>491</v>
      </c>
    </row>
    <row r="2568" spans="1:10" hidden="1" x14ac:dyDescent="0.25">
      <c r="A2568" t="s">
        <v>162</v>
      </c>
      <c r="B2568" t="s">
        <v>6</v>
      </c>
      <c r="C2568" t="s">
        <v>7</v>
      </c>
      <c r="D2568" t="s">
        <v>10</v>
      </c>
      <c r="E2568" s="2">
        <v>43336.343981481485</v>
      </c>
      <c r="F2568" t="s">
        <v>298</v>
      </c>
      <c r="G2568" t="s">
        <v>385</v>
      </c>
      <c r="H2568" t="s">
        <v>445</v>
      </c>
      <c r="I2568" t="s">
        <v>492</v>
      </c>
      <c r="J2568" t="s">
        <v>493</v>
      </c>
    </row>
    <row r="2569" spans="1:10" hidden="1" x14ac:dyDescent="0.25">
      <c r="A2569" t="s">
        <v>252</v>
      </c>
      <c r="B2569" t="s">
        <v>6</v>
      </c>
      <c r="C2569" t="s">
        <v>7</v>
      </c>
      <c r="D2569" t="s">
        <v>476</v>
      </c>
      <c r="E2569" s="2">
        <v>43336.344108796293</v>
      </c>
      <c r="F2569" t="s">
        <v>300</v>
      </c>
      <c r="G2569" t="s">
        <v>454</v>
      </c>
      <c r="H2569" t="s">
        <v>440</v>
      </c>
      <c r="I2569" t="s">
        <v>494</v>
      </c>
      <c r="J2569" t="s">
        <v>583</v>
      </c>
    </row>
    <row r="2570" spans="1:10" hidden="1" x14ac:dyDescent="0.25">
      <c r="A2570" t="s">
        <v>211</v>
      </c>
      <c r="B2570" t="s">
        <v>6</v>
      </c>
      <c r="C2570" t="s">
        <v>7</v>
      </c>
      <c r="D2570" t="s">
        <v>10</v>
      </c>
      <c r="E2570" s="2">
        <v>43336.344212962962</v>
      </c>
      <c r="F2570" t="s">
        <v>303</v>
      </c>
      <c r="G2570" t="s">
        <v>432</v>
      </c>
      <c r="H2570" t="s">
        <v>435</v>
      </c>
      <c r="I2570" t="s">
        <v>494</v>
      </c>
      <c r="J2570" t="s">
        <v>501</v>
      </c>
    </row>
    <row r="2571" spans="1:10" hidden="1" x14ac:dyDescent="0.25">
      <c r="A2571" t="s">
        <v>191</v>
      </c>
      <c r="B2571" t="s">
        <v>6</v>
      </c>
      <c r="C2571" t="s">
        <v>7</v>
      </c>
      <c r="D2571" t="s">
        <v>10</v>
      </c>
      <c r="E2571" s="2">
        <v>43336.344236111108</v>
      </c>
      <c r="F2571" t="s">
        <v>585</v>
      </c>
      <c r="G2571" t="s">
        <v>318</v>
      </c>
      <c r="H2571" t="s">
        <v>461</v>
      </c>
      <c r="I2571" t="s">
        <v>494</v>
      </c>
      <c r="J2571" t="s">
        <v>501</v>
      </c>
    </row>
    <row r="2572" spans="1:10" hidden="1" x14ac:dyDescent="0.25">
      <c r="A2572" t="s">
        <v>315</v>
      </c>
      <c r="B2572" t="s">
        <v>6</v>
      </c>
      <c r="C2572" t="s">
        <v>7</v>
      </c>
      <c r="D2572" t="s">
        <v>476</v>
      </c>
      <c r="E2572" s="2">
        <v>43336.344409722224</v>
      </c>
      <c r="F2572" t="s">
        <v>586</v>
      </c>
      <c r="G2572" t="s">
        <v>323</v>
      </c>
      <c r="H2572" t="s">
        <v>432</v>
      </c>
      <c r="I2572" t="s">
        <v>490</v>
      </c>
      <c r="J2572" t="s">
        <v>491</v>
      </c>
    </row>
    <row r="2573" spans="1:10" hidden="1" x14ac:dyDescent="0.25">
      <c r="A2573" t="s">
        <v>221</v>
      </c>
      <c r="B2573" t="s">
        <v>6</v>
      </c>
      <c r="C2573" t="s">
        <v>7</v>
      </c>
      <c r="D2573" t="s">
        <v>10</v>
      </c>
      <c r="E2573" s="2">
        <v>43336.344594907408</v>
      </c>
      <c r="F2573" t="s">
        <v>298</v>
      </c>
      <c r="G2573" t="s">
        <v>385</v>
      </c>
      <c r="H2573" t="s">
        <v>446</v>
      </c>
      <c r="I2573" t="s">
        <v>492</v>
      </c>
      <c r="J2573" t="s">
        <v>493</v>
      </c>
    </row>
    <row r="2574" spans="1:10" hidden="1" x14ac:dyDescent="0.25">
      <c r="A2574" t="s">
        <v>253</v>
      </c>
      <c r="B2574" t="s">
        <v>6</v>
      </c>
      <c r="C2574" t="s">
        <v>7</v>
      </c>
      <c r="D2574" t="s">
        <v>476</v>
      </c>
      <c r="E2574" s="2">
        <v>43336.344722222224</v>
      </c>
      <c r="F2574" t="s">
        <v>300</v>
      </c>
      <c r="G2574" t="s">
        <v>454</v>
      </c>
      <c r="H2574" t="s">
        <v>441</v>
      </c>
      <c r="I2574" t="s">
        <v>494</v>
      </c>
      <c r="J2574" t="s">
        <v>583</v>
      </c>
    </row>
    <row r="2575" spans="1:10" hidden="1" x14ac:dyDescent="0.25">
      <c r="A2575" t="s">
        <v>47</v>
      </c>
      <c r="B2575" t="s">
        <v>6</v>
      </c>
      <c r="C2575" t="s">
        <v>7</v>
      </c>
      <c r="D2575" t="s">
        <v>10</v>
      </c>
      <c r="E2575" s="2">
        <v>43336.344837962963</v>
      </c>
      <c r="F2575" t="s">
        <v>585</v>
      </c>
      <c r="G2575" t="s">
        <v>318</v>
      </c>
      <c r="H2575" t="s">
        <v>462</v>
      </c>
      <c r="I2575" t="s">
        <v>494</v>
      </c>
      <c r="J2575" t="s">
        <v>501</v>
      </c>
    </row>
    <row r="2576" spans="1:10" hidden="1" x14ac:dyDescent="0.25">
      <c r="A2576" t="s">
        <v>141</v>
      </c>
      <c r="B2576" t="s">
        <v>6</v>
      </c>
      <c r="C2576" t="s">
        <v>7</v>
      </c>
      <c r="D2576" t="s">
        <v>10</v>
      </c>
      <c r="E2576" s="2">
        <v>43336.344861111109</v>
      </c>
      <c r="F2576" t="s">
        <v>303</v>
      </c>
      <c r="G2576" t="s">
        <v>432</v>
      </c>
      <c r="H2576" t="s">
        <v>436</v>
      </c>
      <c r="I2576" t="s">
        <v>494</v>
      </c>
      <c r="J2576" t="s">
        <v>501</v>
      </c>
    </row>
    <row r="2577" spans="1:10" hidden="1" x14ac:dyDescent="0.25">
      <c r="A2577" t="s">
        <v>316</v>
      </c>
      <c r="B2577" t="s">
        <v>6</v>
      </c>
      <c r="C2577" t="s">
        <v>7</v>
      </c>
      <c r="D2577" t="s">
        <v>476</v>
      </c>
      <c r="E2577" s="2">
        <v>43336.345011574071</v>
      </c>
      <c r="F2577" t="s">
        <v>586</v>
      </c>
      <c r="G2577" t="s">
        <v>323</v>
      </c>
      <c r="H2577" t="s">
        <v>433</v>
      </c>
      <c r="I2577" t="s">
        <v>490</v>
      </c>
      <c r="J2577" t="s">
        <v>491</v>
      </c>
    </row>
    <row r="2578" spans="1:10" hidden="1" x14ac:dyDescent="0.25">
      <c r="A2578" t="s">
        <v>114</v>
      </c>
      <c r="B2578" t="s">
        <v>6</v>
      </c>
      <c r="C2578" t="s">
        <v>7</v>
      </c>
      <c r="D2578" t="s">
        <v>10</v>
      </c>
      <c r="E2578" s="2">
        <v>43336.345196759263</v>
      </c>
      <c r="F2578" t="s">
        <v>298</v>
      </c>
      <c r="G2578" t="s">
        <v>385</v>
      </c>
      <c r="H2578" t="s">
        <v>447</v>
      </c>
      <c r="I2578" t="s">
        <v>492</v>
      </c>
      <c r="J2578" t="s">
        <v>493</v>
      </c>
    </row>
    <row r="2579" spans="1:10" hidden="1" x14ac:dyDescent="0.25">
      <c r="A2579" t="s">
        <v>254</v>
      </c>
      <c r="B2579" t="s">
        <v>6</v>
      </c>
      <c r="C2579" t="s">
        <v>7</v>
      </c>
      <c r="D2579" t="s">
        <v>10</v>
      </c>
      <c r="E2579" s="2">
        <v>43336.345347222225</v>
      </c>
      <c r="F2579" t="s">
        <v>300</v>
      </c>
      <c r="G2579" t="s">
        <v>454</v>
      </c>
      <c r="H2579" t="s">
        <v>442</v>
      </c>
      <c r="I2579" t="s">
        <v>494</v>
      </c>
      <c r="J2579" t="s">
        <v>583</v>
      </c>
    </row>
    <row r="2580" spans="1:10" hidden="1" x14ac:dyDescent="0.25">
      <c r="A2580" t="s">
        <v>45</v>
      </c>
      <c r="B2580" t="s">
        <v>6</v>
      </c>
      <c r="C2580" t="s">
        <v>7</v>
      </c>
      <c r="D2580" t="s">
        <v>10</v>
      </c>
      <c r="E2580" s="2">
        <v>43336.345462962963</v>
      </c>
      <c r="F2580" t="s">
        <v>585</v>
      </c>
      <c r="G2580" t="s">
        <v>318</v>
      </c>
      <c r="H2580" t="s">
        <v>453</v>
      </c>
      <c r="I2580" t="s">
        <v>494</v>
      </c>
      <c r="J2580" t="s">
        <v>501</v>
      </c>
    </row>
    <row r="2581" spans="1:10" hidden="1" x14ac:dyDescent="0.25">
      <c r="A2581" t="s">
        <v>127</v>
      </c>
      <c r="B2581" t="s">
        <v>6</v>
      </c>
      <c r="C2581" t="s">
        <v>7</v>
      </c>
      <c r="D2581" t="s">
        <v>10</v>
      </c>
      <c r="E2581" s="2">
        <v>43336.34547453704</v>
      </c>
      <c r="F2581" t="s">
        <v>303</v>
      </c>
      <c r="G2581" t="s">
        <v>432</v>
      </c>
      <c r="H2581" t="s">
        <v>437</v>
      </c>
      <c r="I2581" t="s">
        <v>494</v>
      </c>
      <c r="J2581" t="s">
        <v>501</v>
      </c>
    </row>
    <row r="2582" spans="1:10" hidden="1" x14ac:dyDescent="0.25">
      <c r="A2582" t="s">
        <v>411</v>
      </c>
      <c r="B2582" t="s">
        <v>6</v>
      </c>
      <c r="C2582" t="s">
        <v>7</v>
      </c>
      <c r="D2582" t="s">
        <v>476</v>
      </c>
      <c r="E2582" s="2">
        <v>43336.345625000002</v>
      </c>
      <c r="F2582" t="s">
        <v>586</v>
      </c>
      <c r="G2582" t="s">
        <v>323</v>
      </c>
      <c r="H2582" t="s">
        <v>434</v>
      </c>
      <c r="I2582" t="s">
        <v>490</v>
      </c>
      <c r="J2582" t="s">
        <v>491</v>
      </c>
    </row>
    <row r="2583" spans="1:10" hidden="1" x14ac:dyDescent="0.25">
      <c r="A2583" t="s">
        <v>158</v>
      </c>
      <c r="B2583" t="s">
        <v>6</v>
      </c>
      <c r="C2583" t="s">
        <v>7</v>
      </c>
      <c r="D2583" t="s">
        <v>10</v>
      </c>
      <c r="E2583" s="2">
        <v>43336.345821759256</v>
      </c>
      <c r="F2583" t="s">
        <v>298</v>
      </c>
      <c r="G2583" t="s">
        <v>385</v>
      </c>
      <c r="H2583" t="s">
        <v>448</v>
      </c>
      <c r="I2583" t="s">
        <v>492</v>
      </c>
      <c r="J2583" t="s">
        <v>493</v>
      </c>
    </row>
    <row r="2584" spans="1:10" hidden="1" x14ac:dyDescent="0.25">
      <c r="A2584" t="s">
        <v>255</v>
      </c>
      <c r="B2584" t="s">
        <v>6</v>
      </c>
      <c r="C2584" t="s">
        <v>7</v>
      </c>
      <c r="D2584" t="s">
        <v>476</v>
      </c>
      <c r="E2584" s="2">
        <v>43336.345960648148</v>
      </c>
      <c r="F2584" t="s">
        <v>300</v>
      </c>
      <c r="G2584" t="s">
        <v>454</v>
      </c>
      <c r="H2584" t="s">
        <v>443</v>
      </c>
      <c r="I2584" t="s">
        <v>494</v>
      </c>
      <c r="J2584" t="s">
        <v>583</v>
      </c>
    </row>
    <row r="2585" spans="1:10" hidden="1" x14ac:dyDescent="0.25">
      <c r="A2585" t="s">
        <v>210</v>
      </c>
      <c r="B2585" t="s">
        <v>6</v>
      </c>
      <c r="C2585" t="s">
        <v>7</v>
      </c>
      <c r="D2585" t="s">
        <v>10</v>
      </c>
      <c r="E2585" s="2">
        <v>43336.346076388887</v>
      </c>
      <c r="F2585" t="s">
        <v>303</v>
      </c>
      <c r="G2585" t="s">
        <v>432</v>
      </c>
      <c r="H2585" t="s">
        <v>438</v>
      </c>
      <c r="I2585" t="s">
        <v>494</v>
      </c>
      <c r="J2585" t="s">
        <v>501</v>
      </c>
    </row>
    <row r="2586" spans="1:10" hidden="1" x14ac:dyDescent="0.25">
      <c r="A2586" t="s">
        <v>146</v>
      </c>
      <c r="B2586" t="s">
        <v>6</v>
      </c>
      <c r="C2586" t="s">
        <v>7</v>
      </c>
      <c r="D2586" t="s">
        <v>10</v>
      </c>
      <c r="E2586" s="2">
        <v>43336.346076388887</v>
      </c>
      <c r="F2586" t="s">
        <v>585</v>
      </c>
      <c r="G2586" t="s">
        <v>318</v>
      </c>
      <c r="H2586" t="s">
        <v>454</v>
      </c>
      <c r="I2586" t="s">
        <v>494</v>
      </c>
      <c r="J2586" t="s">
        <v>501</v>
      </c>
    </row>
    <row r="2587" spans="1:10" hidden="1" x14ac:dyDescent="0.25">
      <c r="A2587" t="s">
        <v>412</v>
      </c>
      <c r="B2587" t="s">
        <v>6</v>
      </c>
      <c r="C2587" t="s">
        <v>7</v>
      </c>
      <c r="D2587" t="s">
        <v>476</v>
      </c>
      <c r="E2587" s="2">
        <v>43336.346226851849</v>
      </c>
      <c r="F2587" t="s">
        <v>586</v>
      </c>
      <c r="G2587" t="s">
        <v>323</v>
      </c>
      <c r="H2587" t="s">
        <v>435</v>
      </c>
      <c r="I2587" t="s">
        <v>490</v>
      </c>
      <c r="J2587" t="s">
        <v>491</v>
      </c>
    </row>
    <row r="2588" spans="1:10" hidden="1" x14ac:dyDescent="0.25">
      <c r="A2588" t="s">
        <v>16</v>
      </c>
      <c r="B2588" t="s">
        <v>6</v>
      </c>
      <c r="C2588" t="s">
        <v>7</v>
      </c>
      <c r="D2588" t="s">
        <v>10</v>
      </c>
      <c r="E2588" s="2">
        <v>43336.346435185187</v>
      </c>
      <c r="F2588" t="s">
        <v>298</v>
      </c>
      <c r="G2588" t="s">
        <v>385</v>
      </c>
      <c r="H2588" t="s">
        <v>449</v>
      </c>
      <c r="I2588" t="s">
        <v>492</v>
      </c>
      <c r="J2588" t="s">
        <v>493</v>
      </c>
    </row>
    <row r="2589" spans="1:10" hidden="1" x14ac:dyDescent="0.25">
      <c r="A2589" t="s">
        <v>244</v>
      </c>
      <c r="B2589" t="s">
        <v>6</v>
      </c>
      <c r="C2589" t="s">
        <v>7</v>
      </c>
      <c r="D2589" t="s">
        <v>10</v>
      </c>
      <c r="E2589" s="2">
        <v>43336.346597222226</v>
      </c>
      <c r="F2589" t="s">
        <v>300</v>
      </c>
      <c r="G2589" t="s">
        <v>454</v>
      </c>
      <c r="H2589" t="s">
        <v>444</v>
      </c>
      <c r="I2589" t="s">
        <v>494</v>
      </c>
      <c r="J2589" t="s">
        <v>583</v>
      </c>
    </row>
    <row r="2590" spans="1:10" hidden="1" x14ac:dyDescent="0.25">
      <c r="A2590" t="s">
        <v>209</v>
      </c>
      <c r="B2590" t="s">
        <v>6</v>
      </c>
      <c r="C2590" t="s">
        <v>7</v>
      </c>
      <c r="D2590" t="s">
        <v>10</v>
      </c>
      <c r="E2590" s="2">
        <v>43336.346689814818</v>
      </c>
      <c r="F2590" t="s">
        <v>303</v>
      </c>
      <c r="G2590" t="s">
        <v>432</v>
      </c>
      <c r="H2590" t="s">
        <v>439</v>
      </c>
      <c r="I2590" t="s">
        <v>494</v>
      </c>
      <c r="J2590" t="s">
        <v>501</v>
      </c>
    </row>
    <row r="2591" spans="1:10" hidden="1" x14ac:dyDescent="0.25">
      <c r="A2591" t="s">
        <v>291</v>
      </c>
      <c r="B2591" t="s">
        <v>6</v>
      </c>
      <c r="C2591" t="s">
        <v>7</v>
      </c>
      <c r="D2591" t="s">
        <v>10</v>
      </c>
      <c r="E2591" s="2">
        <v>43336.346689814818</v>
      </c>
      <c r="F2591" t="s">
        <v>585</v>
      </c>
      <c r="G2591" t="s">
        <v>318</v>
      </c>
      <c r="H2591" t="s">
        <v>455</v>
      </c>
      <c r="I2591" t="s">
        <v>494</v>
      </c>
      <c r="J2591" t="s">
        <v>501</v>
      </c>
    </row>
    <row r="2592" spans="1:10" hidden="1" x14ac:dyDescent="0.25">
      <c r="A2592" t="s">
        <v>413</v>
      </c>
      <c r="B2592" t="s">
        <v>6</v>
      </c>
      <c r="C2592" t="s">
        <v>7</v>
      </c>
      <c r="D2592" t="s">
        <v>10</v>
      </c>
      <c r="E2592" s="2">
        <v>43336.34684027778</v>
      </c>
      <c r="F2592" t="s">
        <v>586</v>
      </c>
      <c r="G2592" t="s">
        <v>323</v>
      </c>
      <c r="H2592" t="s">
        <v>436</v>
      </c>
      <c r="I2592" t="s">
        <v>490</v>
      </c>
      <c r="J2592" t="s">
        <v>491</v>
      </c>
    </row>
    <row r="2593" spans="1:10" hidden="1" x14ac:dyDescent="0.25">
      <c r="A2593" t="s">
        <v>113</v>
      </c>
      <c r="B2593" t="s">
        <v>6</v>
      </c>
      <c r="C2593" t="s">
        <v>7</v>
      </c>
      <c r="D2593" t="s">
        <v>10</v>
      </c>
      <c r="E2593" s="2">
        <v>43336.347060185188</v>
      </c>
      <c r="F2593" t="s">
        <v>298</v>
      </c>
      <c r="G2593" t="s">
        <v>385</v>
      </c>
      <c r="H2593" t="s">
        <v>450</v>
      </c>
      <c r="I2593" t="s">
        <v>492</v>
      </c>
      <c r="J2593" t="s">
        <v>493</v>
      </c>
    </row>
    <row r="2594" spans="1:10" hidden="1" x14ac:dyDescent="0.25">
      <c r="A2594" t="s">
        <v>256</v>
      </c>
      <c r="B2594" t="s">
        <v>6</v>
      </c>
      <c r="C2594" t="s">
        <v>7</v>
      </c>
      <c r="D2594" t="s">
        <v>10</v>
      </c>
      <c r="E2594" s="2">
        <v>43336.347222222219</v>
      </c>
      <c r="F2594" t="s">
        <v>300</v>
      </c>
      <c r="G2594" t="s">
        <v>454</v>
      </c>
      <c r="H2594" t="s">
        <v>445</v>
      </c>
      <c r="I2594" t="s">
        <v>494</v>
      </c>
      <c r="J2594" t="s">
        <v>583</v>
      </c>
    </row>
    <row r="2595" spans="1:10" hidden="1" x14ac:dyDescent="0.25">
      <c r="A2595" t="s">
        <v>179</v>
      </c>
      <c r="B2595" t="s">
        <v>6</v>
      </c>
      <c r="C2595" t="s">
        <v>7</v>
      </c>
      <c r="D2595" t="s">
        <v>10</v>
      </c>
      <c r="E2595" s="2">
        <v>43336.347303240742</v>
      </c>
      <c r="F2595" t="s">
        <v>303</v>
      </c>
      <c r="G2595" t="s">
        <v>432</v>
      </c>
      <c r="H2595" t="s">
        <v>440</v>
      </c>
      <c r="I2595" t="s">
        <v>494</v>
      </c>
      <c r="J2595" t="s">
        <v>501</v>
      </c>
    </row>
    <row r="2596" spans="1:10" hidden="1" x14ac:dyDescent="0.25">
      <c r="A2596" t="s">
        <v>292</v>
      </c>
      <c r="B2596" t="s">
        <v>6</v>
      </c>
      <c r="C2596" t="s">
        <v>7</v>
      </c>
      <c r="D2596" t="s">
        <v>10</v>
      </c>
      <c r="E2596" s="2">
        <v>43336.347303240742</v>
      </c>
      <c r="F2596" t="s">
        <v>585</v>
      </c>
      <c r="G2596" t="s">
        <v>318</v>
      </c>
      <c r="H2596" t="s">
        <v>456</v>
      </c>
      <c r="I2596" t="s">
        <v>494</v>
      </c>
      <c r="J2596" t="s">
        <v>501</v>
      </c>
    </row>
    <row r="2597" spans="1:10" hidden="1" x14ac:dyDescent="0.25">
      <c r="A2597" t="s">
        <v>409</v>
      </c>
      <c r="B2597" t="s">
        <v>6</v>
      </c>
      <c r="C2597" t="s">
        <v>7</v>
      </c>
      <c r="D2597" t="s">
        <v>10</v>
      </c>
      <c r="E2597" s="2">
        <v>43336.347453703704</v>
      </c>
      <c r="F2597" t="s">
        <v>586</v>
      </c>
      <c r="G2597" t="s">
        <v>323</v>
      </c>
      <c r="H2597" t="s">
        <v>437</v>
      </c>
      <c r="I2597" t="s">
        <v>490</v>
      </c>
      <c r="J2597" t="s">
        <v>491</v>
      </c>
    </row>
    <row r="2598" spans="1:10" hidden="1" x14ac:dyDescent="0.25">
      <c r="A2598" t="s">
        <v>112</v>
      </c>
      <c r="B2598" t="s">
        <v>6</v>
      </c>
      <c r="C2598" t="s">
        <v>7</v>
      </c>
      <c r="D2598" t="s">
        <v>10</v>
      </c>
      <c r="E2598" s="2">
        <v>43336.347685185188</v>
      </c>
      <c r="F2598" t="s">
        <v>298</v>
      </c>
      <c r="G2598" t="s">
        <v>385</v>
      </c>
      <c r="H2598" t="s">
        <v>451</v>
      </c>
      <c r="I2598" t="s">
        <v>492</v>
      </c>
      <c r="J2598" t="s">
        <v>493</v>
      </c>
    </row>
    <row r="2599" spans="1:10" hidden="1" x14ac:dyDescent="0.25">
      <c r="A2599" t="s">
        <v>257</v>
      </c>
      <c r="B2599" t="s">
        <v>6</v>
      </c>
      <c r="C2599" t="s">
        <v>7</v>
      </c>
      <c r="D2599" t="s">
        <v>10</v>
      </c>
      <c r="E2599" s="2">
        <v>43336.34784722222</v>
      </c>
      <c r="F2599" t="s">
        <v>300</v>
      </c>
      <c r="G2599" t="s">
        <v>454</v>
      </c>
      <c r="H2599" t="s">
        <v>446</v>
      </c>
      <c r="I2599" t="s">
        <v>584</v>
      </c>
      <c r="J2599" t="s">
        <v>584</v>
      </c>
    </row>
    <row r="2600" spans="1:10" hidden="1" x14ac:dyDescent="0.25">
      <c r="A2600" t="s">
        <v>177</v>
      </c>
      <c r="B2600" t="s">
        <v>6</v>
      </c>
      <c r="C2600" t="s">
        <v>7</v>
      </c>
      <c r="D2600" t="s">
        <v>10</v>
      </c>
      <c r="E2600" s="2">
        <v>43336.347916666666</v>
      </c>
      <c r="F2600" t="s">
        <v>303</v>
      </c>
      <c r="G2600" t="s">
        <v>432</v>
      </c>
      <c r="H2600" t="s">
        <v>441</v>
      </c>
      <c r="I2600" t="s">
        <v>494</v>
      </c>
      <c r="J2600" t="s">
        <v>501</v>
      </c>
    </row>
    <row r="2601" spans="1:10" hidden="1" x14ac:dyDescent="0.25">
      <c r="A2601" t="s">
        <v>170</v>
      </c>
      <c r="B2601" t="s">
        <v>6</v>
      </c>
      <c r="C2601" t="s">
        <v>7</v>
      </c>
      <c r="D2601" t="s">
        <v>10</v>
      </c>
      <c r="E2601" s="2">
        <v>43336.347928240742</v>
      </c>
      <c r="F2601" t="s">
        <v>585</v>
      </c>
      <c r="G2601" t="s">
        <v>318</v>
      </c>
      <c r="H2601" t="s">
        <v>426</v>
      </c>
      <c r="I2601" t="s">
        <v>494</v>
      </c>
      <c r="J2601" t="s">
        <v>501</v>
      </c>
    </row>
    <row r="2602" spans="1:10" hidden="1" x14ac:dyDescent="0.25">
      <c r="A2602" t="s">
        <v>363</v>
      </c>
      <c r="B2602" t="s">
        <v>6</v>
      </c>
      <c r="C2602" t="s">
        <v>7</v>
      </c>
      <c r="D2602" t="s">
        <v>10</v>
      </c>
      <c r="E2602" s="2">
        <v>43336.348078703704</v>
      </c>
      <c r="F2602" t="s">
        <v>586</v>
      </c>
      <c r="G2602" t="s">
        <v>323</v>
      </c>
      <c r="H2602" t="s">
        <v>438</v>
      </c>
      <c r="I2602" t="s">
        <v>490</v>
      </c>
      <c r="J2602" t="s">
        <v>491</v>
      </c>
    </row>
    <row r="2603" spans="1:10" hidden="1" x14ac:dyDescent="0.25">
      <c r="A2603" t="s">
        <v>111</v>
      </c>
      <c r="B2603" t="s">
        <v>6</v>
      </c>
      <c r="C2603" t="s">
        <v>7</v>
      </c>
      <c r="D2603" t="s">
        <v>10</v>
      </c>
      <c r="E2603" s="2">
        <v>43336.348310185182</v>
      </c>
      <c r="F2603" t="s">
        <v>298</v>
      </c>
      <c r="G2603" t="s">
        <v>385</v>
      </c>
      <c r="H2603" t="s">
        <v>452</v>
      </c>
      <c r="I2603" t="s">
        <v>492</v>
      </c>
      <c r="J2603" t="s">
        <v>493</v>
      </c>
    </row>
    <row r="2604" spans="1:10" hidden="1" x14ac:dyDescent="0.25">
      <c r="A2604" t="s">
        <v>263</v>
      </c>
      <c r="B2604" t="s">
        <v>6</v>
      </c>
      <c r="C2604" t="s">
        <v>7</v>
      </c>
      <c r="D2604" t="s">
        <v>10</v>
      </c>
      <c r="E2604" s="2">
        <v>43336.348449074074</v>
      </c>
      <c r="F2604" t="s">
        <v>300</v>
      </c>
      <c r="G2604" t="s">
        <v>454</v>
      </c>
      <c r="H2604" t="s">
        <v>447</v>
      </c>
      <c r="I2604" t="s">
        <v>584</v>
      </c>
      <c r="J2604" t="s">
        <v>584</v>
      </c>
    </row>
    <row r="2605" spans="1:10" hidden="1" x14ac:dyDescent="0.25">
      <c r="A2605" t="s">
        <v>287</v>
      </c>
      <c r="B2605" t="s">
        <v>6</v>
      </c>
      <c r="C2605" t="s">
        <v>7</v>
      </c>
      <c r="D2605" t="s">
        <v>10</v>
      </c>
      <c r="E2605" s="2">
        <v>43336.348541666666</v>
      </c>
      <c r="F2605" t="s">
        <v>303</v>
      </c>
      <c r="G2605" t="s">
        <v>432</v>
      </c>
      <c r="H2605" t="s">
        <v>442</v>
      </c>
      <c r="I2605" t="s">
        <v>494</v>
      </c>
      <c r="J2605" t="s">
        <v>501</v>
      </c>
    </row>
    <row r="2606" spans="1:10" hidden="1" x14ac:dyDescent="0.25">
      <c r="A2606" t="s">
        <v>293</v>
      </c>
      <c r="B2606" t="s">
        <v>6</v>
      </c>
      <c r="C2606" t="s">
        <v>7</v>
      </c>
      <c r="D2606" t="s">
        <v>10</v>
      </c>
      <c r="E2606" s="2">
        <v>43336.348564814813</v>
      </c>
      <c r="F2606" t="s">
        <v>585</v>
      </c>
      <c r="G2606" t="s">
        <v>318</v>
      </c>
      <c r="H2606" t="s">
        <v>427</v>
      </c>
      <c r="I2606" t="s">
        <v>494</v>
      </c>
      <c r="J2606" t="s">
        <v>501</v>
      </c>
    </row>
    <row r="2607" spans="1:10" hidden="1" x14ac:dyDescent="0.25">
      <c r="A2607" t="s">
        <v>400</v>
      </c>
      <c r="B2607" t="s">
        <v>6</v>
      </c>
      <c r="C2607" t="s">
        <v>7</v>
      </c>
      <c r="D2607" t="s">
        <v>10</v>
      </c>
      <c r="E2607" s="2">
        <v>43336.348692129628</v>
      </c>
      <c r="F2607" t="s">
        <v>586</v>
      </c>
      <c r="G2607" t="s">
        <v>323</v>
      </c>
      <c r="H2607" t="s">
        <v>439</v>
      </c>
      <c r="I2607" t="s">
        <v>490</v>
      </c>
      <c r="J2607" t="s">
        <v>491</v>
      </c>
    </row>
    <row r="2608" spans="1:10" hidden="1" x14ac:dyDescent="0.25">
      <c r="A2608" t="s">
        <v>377</v>
      </c>
      <c r="B2608" t="s">
        <v>6</v>
      </c>
      <c r="C2608" t="s">
        <v>7</v>
      </c>
      <c r="D2608" t="s">
        <v>476</v>
      </c>
      <c r="E2608" s="2">
        <v>43336.348935185182</v>
      </c>
      <c r="F2608" t="s">
        <v>298</v>
      </c>
      <c r="G2608" t="s">
        <v>385</v>
      </c>
      <c r="H2608" t="s">
        <v>318</v>
      </c>
      <c r="I2608" t="s">
        <v>581</v>
      </c>
      <c r="J2608" t="s">
        <v>581</v>
      </c>
    </row>
    <row r="2609" spans="1:10" hidden="1" x14ac:dyDescent="0.25">
      <c r="A2609" t="s">
        <v>264</v>
      </c>
      <c r="B2609" t="s">
        <v>6</v>
      </c>
      <c r="C2609" t="s">
        <v>7</v>
      </c>
      <c r="D2609" t="s">
        <v>10</v>
      </c>
      <c r="E2609" s="2">
        <v>43336.349062499998</v>
      </c>
      <c r="F2609" t="s">
        <v>300</v>
      </c>
      <c r="G2609" t="s">
        <v>454</v>
      </c>
      <c r="H2609" t="s">
        <v>448</v>
      </c>
      <c r="I2609" t="s">
        <v>584</v>
      </c>
      <c r="J2609" t="s">
        <v>584</v>
      </c>
    </row>
    <row r="2610" spans="1:10" hidden="1" x14ac:dyDescent="0.25">
      <c r="A2610" t="s">
        <v>185</v>
      </c>
      <c r="B2610" t="s">
        <v>6</v>
      </c>
      <c r="C2610" t="s">
        <v>7</v>
      </c>
      <c r="D2610" t="s">
        <v>10</v>
      </c>
      <c r="E2610" s="2">
        <v>43336.34915509259</v>
      </c>
      <c r="F2610" t="s">
        <v>303</v>
      </c>
      <c r="G2610" t="s">
        <v>432</v>
      </c>
      <c r="H2610" t="s">
        <v>443</v>
      </c>
      <c r="I2610" t="s">
        <v>494</v>
      </c>
      <c r="J2610" t="s">
        <v>501</v>
      </c>
    </row>
    <row r="2611" spans="1:10" hidden="1" x14ac:dyDescent="0.25">
      <c r="A2611" t="s">
        <v>44</v>
      </c>
      <c r="B2611" t="s">
        <v>6</v>
      </c>
      <c r="C2611" t="s">
        <v>7</v>
      </c>
      <c r="D2611" t="s">
        <v>10</v>
      </c>
      <c r="E2611" s="2">
        <v>43336.349189814813</v>
      </c>
      <c r="F2611" t="s">
        <v>585</v>
      </c>
      <c r="G2611" t="s">
        <v>318</v>
      </c>
      <c r="H2611" t="s">
        <v>428</v>
      </c>
      <c r="I2611" t="s">
        <v>494</v>
      </c>
      <c r="J2611" t="s">
        <v>501</v>
      </c>
    </row>
    <row r="2612" spans="1:10" hidden="1" x14ac:dyDescent="0.25">
      <c r="A2612" t="s">
        <v>376</v>
      </c>
      <c r="B2612" t="s">
        <v>6</v>
      </c>
      <c r="C2612" t="s">
        <v>7</v>
      </c>
      <c r="D2612" t="s">
        <v>10</v>
      </c>
      <c r="E2612" s="2">
        <v>43336.349305555559</v>
      </c>
      <c r="F2612" t="s">
        <v>586</v>
      </c>
      <c r="G2612" t="s">
        <v>323</v>
      </c>
      <c r="H2612" t="s">
        <v>440</v>
      </c>
      <c r="I2612" t="s">
        <v>490</v>
      </c>
      <c r="J2612" t="s">
        <v>491</v>
      </c>
    </row>
    <row r="2613" spans="1:10" hidden="1" x14ac:dyDescent="0.25">
      <c r="A2613" t="s">
        <v>265</v>
      </c>
      <c r="B2613" t="s">
        <v>6</v>
      </c>
      <c r="C2613" t="s">
        <v>7</v>
      </c>
      <c r="D2613" t="s">
        <v>10</v>
      </c>
      <c r="E2613" s="2">
        <v>43336.349675925929</v>
      </c>
      <c r="F2613" t="s">
        <v>300</v>
      </c>
      <c r="G2613" t="s">
        <v>454</v>
      </c>
      <c r="H2613" t="s">
        <v>449</v>
      </c>
      <c r="I2613" t="s">
        <v>584</v>
      </c>
      <c r="J2613" t="s">
        <v>584</v>
      </c>
    </row>
    <row r="2614" spans="1:10" hidden="1" x14ac:dyDescent="0.25">
      <c r="A2614" t="s">
        <v>384</v>
      </c>
      <c r="B2614" t="s">
        <v>6</v>
      </c>
      <c r="C2614" t="s">
        <v>7</v>
      </c>
      <c r="D2614" t="s">
        <v>476</v>
      </c>
      <c r="E2614" s="2">
        <v>43336.349710648145</v>
      </c>
      <c r="F2614" t="s">
        <v>298</v>
      </c>
      <c r="G2614" t="s">
        <v>385</v>
      </c>
      <c r="H2614" t="s">
        <v>323</v>
      </c>
      <c r="I2614" t="s">
        <v>581</v>
      </c>
      <c r="J2614" t="s">
        <v>581</v>
      </c>
    </row>
    <row r="2615" spans="1:10" hidden="1" x14ac:dyDescent="0.25">
      <c r="A2615" t="s">
        <v>175</v>
      </c>
      <c r="B2615" t="s">
        <v>6</v>
      </c>
      <c r="C2615" t="s">
        <v>7</v>
      </c>
      <c r="D2615" t="s">
        <v>10</v>
      </c>
      <c r="E2615" s="2">
        <v>43336.349791666667</v>
      </c>
      <c r="F2615" t="s">
        <v>303</v>
      </c>
      <c r="G2615" t="s">
        <v>432</v>
      </c>
      <c r="H2615" t="s">
        <v>444</v>
      </c>
      <c r="I2615" t="s">
        <v>494</v>
      </c>
      <c r="J2615" t="s">
        <v>501</v>
      </c>
    </row>
    <row r="2616" spans="1:10" hidden="1" x14ac:dyDescent="0.25">
      <c r="A2616" t="s">
        <v>327</v>
      </c>
      <c r="B2616" t="s">
        <v>6</v>
      </c>
      <c r="C2616" t="s">
        <v>7</v>
      </c>
      <c r="D2616" t="s">
        <v>10</v>
      </c>
      <c r="E2616" s="2">
        <v>43336.349918981483</v>
      </c>
      <c r="F2616" t="s">
        <v>586</v>
      </c>
      <c r="G2616" t="s">
        <v>323</v>
      </c>
      <c r="H2616" t="s">
        <v>441</v>
      </c>
      <c r="I2616" t="s">
        <v>490</v>
      </c>
      <c r="J2616" t="s">
        <v>491</v>
      </c>
    </row>
    <row r="2617" spans="1:10" hidden="1" x14ac:dyDescent="0.25">
      <c r="A2617" t="s">
        <v>266</v>
      </c>
      <c r="B2617" t="s">
        <v>6</v>
      </c>
      <c r="C2617" t="s">
        <v>7</v>
      </c>
      <c r="D2617" t="s">
        <v>10</v>
      </c>
      <c r="E2617" s="2">
        <v>43336.350300925929</v>
      </c>
      <c r="F2617" t="s">
        <v>300</v>
      </c>
      <c r="G2617" t="s">
        <v>454</v>
      </c>
      <c r="H2617" t="s">
        <v>450</v>
      </c>
      <c r="I2617" t="s">
        <v>584</v>
      </c>
      <c r="J2617" t="s">
        <v>584</v>
      </c>
    </row>
    <row r="2618" spans="1:10" hidden="1" x14ac:dyDescent="0.25">
      <c r="A2618" t="s">
        <v>326</v>
      </c>
      <c r="B2618" t="s">
        <v>6</v>
      </c>
      <c r="C2618" t="s">
        <v>7</v>
      </c>
      <c r="D2618" t="s">
        <v>10</v>
      </c>
      <c r="E2618" s="2">
        <v>43336.350335648145</v>
      </c>
      <c r="F2618" t="s">
        <v>298</v>
      </c>
      <c r="G2618" t="s">
        <v>385</v>
      </c>
      <c r="H2618" t="s">
        <v>385</v>
      </c>
      <c r="I2618" t="s">
        <v>581</v>
      </c>
      <c r="J2618" t="s">
        <v>581</v>
      </c>
    </row>
    <row r="2619" spans="1:10" hidden="1" x14ac:dyDescent="0.25">
      <c r="A2619" t="s">
        <v>288</v>
      </c>
      <c r="B2619" t="s">
        <v>6</v>
      </c>
      <c r="C2619" t="s">
        <v>7</v>
      </c>
      <c r="D2619" t="s">
        <v>10</v>
      </c>
      <c r="E2619" s="2">
        <v>43336.350405092591</v>
      </c>
      <c r="F2619" t="s">
        <v>303</v>
      </c>
      <c r="G2619" t="s">
        <v>432</v>
      </c>
      <c r="H2619" t="s">
        <v>445</v>
      </c>
      <c r="I2619" t="s">
        <v>494</v>
      </c>
      <c r="J2619" t="s">
        <v>501</v>
      </c>
    </row>
    <row r="2620" spans="1:10" hidden="1" x14ac:dyDescent="0.25">
      <c r="A2620" t="s">
        <v>414</v>
      </c>
      <c r="B2620" t="s">
        <v>6</v>
      </c>
      <c r="C2620" t="s">
        <v>7</v>
      </c>
      <c r="D2620" t="s">
        <v>10</v>
      </c>
      <c r="E2620" s="2">
        <v>43336.35052083333</v>
      </c>
      <c r="F2620" t="s">
        <v>586</v>
      </c>
      <c r="G2620" t="s">
        <v>323</v>
      </c>
      <c r="H2620" t="s">
        <v>442</v>
      </c>
      <c r="I2620" t="s">
        <v>490</v>
      </c>
      <c r="J2620" t="s">
        <v>491</v>
      </c>
    </row>
    <row r="2621" spans="1:10" hidden="1" x14ac:dyDescent="0.25">
      <c r="A2621" t="s">
        <v>242</v>
      </c>
      <c r="B2621" t="s">
        <v>6</v>
      </c>
      <c r="C2621" t="s">
        <v>7</v>
      </c>
      <c r="D2621" t="s">
        <v>10</v>
      </c>
      <c r="E2621" s="2">
        <v>43336.350949074076</v>
      </c>
      <c r="F2621" t="s">
        <v>300</v>
      </c>
      <c r="G2621" t="s">
        <v>454</v>
      </c>
      <c r="H2621" t="s">
        <v>451</v>
      </c>
      <c r="I2621" t="s">
        <v>498</v>
      </c>
      <c r="J2621" t="s">
        <v>498</v>
      </c>
    </row>
    <row r="2622" spans="1:10" hidden="1" x14ac:dyDescent="0.25">
      <c r="A2622" t="s">
        <v>463</v>
      </c>
      <c r="B2622" t="s">
        <v>6</v>
      </c>
      <c r="C2622" t="s">
        <v>7</v>
      </c>
      <c r="D2622" t="s">
        <v>476</v>
      </c>
      <c r="E2622" s="2">
        <v>43336.350972222222</v>
      </c>
      <c r="F2622" t="s">
        <v>298</v>
      </c>
      <c r="G2622" t="s">
        <v>385</v>
      </c>
      <c r="H2622" t="s">
        <v>457</v>
      </c>
      <c r="I2622" t="s">
        <v>581</v>
      </c>
      <c r="J2622" t="s">
        <v>581</v>
      </c>
    </row>
    <row r="2623" spans="1:10" hidden="1" x14ac:dyDescent="0.25">
      <c r="A2623" t="s">
        <v>139</v>
      </c>
      <c r="B2623" t="s">
        <v>6</v>
      </c>
      <c r="C2623" t="s">
        <v>7</v>
      </c>
      <c r="D2623" t="s">
        <v>10</v>
      </c>
      <c r="E2623" s="2">
        <v>43336.351041666669</v>
      </c>
      <c r="F2623" t="s">
        <v>303</v>
      </c>
      <c r="G2623" t="s">
        <v>432</v>
      </c>
      <c r="H2623" t="s">
        <v>446</v>
      </c>
      <c r="I2623" t="s">
        <v>494</v>
      </c>
      <c r="J2623" t="s">
        <v>501</v>
      </c>
    </row>
    <row r="2624" spans="1:10" hidden="1" x14ac:dyDescent="0.25">
      <c r="A2624" t="s">
        <v>420</v>
      </c>
      <c r="B2624" t="s">
        <v>6</v>
      </c>
      <c r="C2624" t="s">
        <v>7</v>
      </c>
      <c r="D2624" t="s">
        <v>10</v>
      </c>
      <c r="E2624" s="2">
        <v>43336.351145833331</v>
      </c>
      <c r="F2624" t="s">
        <v>586</v>
      </c>
      <c r="G2624" t="s">
        <v>323</v>
      </c>
      <c r="H2624" t="s">
        <v>443</v>
      </c>
      <c r="I2624" t="s">
        <v>490</v>
      </c>
      <c r="J2624" t="s">
        <v>491</v>
      </c>
    </row>
    <row r="2625" spans="1:10" hidden="1" x14ac:dyDescent="0.25">
      <c r="A2625" t="s">
        <v>464</v>
      </c>
      <c r="B2625" t="s">
        <v>6</v>
      </c>
      <c r="C2625" t="s">
        <v>7</v>
      </c>
      <c r="D2625" t="s">
        <v>10</v>
      </c>
      <c r="E2625" s="2">
        <v>43336.351597222223</v>
      </c>
      <c r="F2625" t="s">
        <v>298</v>
      </c>
      <c r="G2625" t="s">
        <v>385</v>
      </c>
      <c r="H2625" t="s">
        <v>458</v>
      </c>
      <c r="I2625" t="s">
        <v>581</v>
      </c>
      <c r="J2625" t="s">
        <v>581</v>
      </c>
    </row>
    <row r="2626" spans="1:10" hidden="1" x14ac:dyDescent="0.25">
      <c r="A2626" t="s">
        <v>267</v>
      </c>
      <c r="B2626" t="s">
        <v>6</v>
      </c>
      <c r="C2626" t="s">
        <v>7</v>
      </c>
      <c r="D2626" t="s">
        <v>10</v>
      </c>
      <c r="E2626" s="2">
        <v>43336.3516087963</v>
      </c>
      <c r="F2626" t="s">
        <v>300</v>
      </c>
      <c r="G2626" t="s">
        <v>454</v>
      </c>
      <c r="H2626" t="s">
        <v>452</v>
      </c>
      <c r="I2626" t="s">
        <v>498</v>
      </c>
      <c r="J2626" t="s">
        <v>498</v>
      </c>
    </row>
    <row r="2627" spans="1:10" hidden="1" x14ac:dyDescent="0.25">
      <c r="A2627" t="s">
        <v>289</v>
      </c>
      <c r="B2627" t="s">
        <v>6</v>
      </c>
      <c r="C2627" t="s">
        <v>7</v>
      </c>
      <c r="D2627" t="s">
        <v>10</v>
      </c>
      <c r="E2627" s="2">
        <v>43336.351666666669</v>
      </c>
      <c r="F2627" t="s">
        <v>303</v>
      </c>
      <c r="G2627" t="s">
        <v>432</v>
      </c>
      <c r="H2627" t="s">
        <v>447</v>
      </c>
      <c r="I2627" t="s">
        <v>494</v>
      </c>
      <c r="J2627" t="s">
        <v>501</v>
      </c>
    </row>
    <row r="2628" spans="1:10" hidden="1" x14ac:dyDescent="0.25">
      <c r="A2628" t="s">
        <v>421</v>
      </c>
      <c r="B2628" t="s">
        <v>6</v>
      </c>
      <c r="C2628" t="s">
        <v>7</v>
      </c>
      <c r="D2628" t="s">
        <v>10</v>
      </c>
      <c r="E2628" s="2">
        <v>43336.351759259262</v>
      </c>
      <c r="F2628" t="s">
        <v>586</v>
      </c>
      <c r="G2628" t="s">
        <v>323</v>
      </c>
      <c r="H2628" t="s">
        <v>444</v>
      </c>
      <c r="I2628" t="s">
        <v>490</v>
      </c>
      <c r="J2628" t="s">
        <v>491</v>
      </c>
    </row>
    <row r="2629" spans="1:10" hidden="1" x14ac:dyDescent="0.25">
      <c r="A2629" t="s">
        <v>482</v>
      </c>
      <c r="B2629" t="s">
        <v>6</v>
      </c>
      <c r="C2629" t="s">
        <v>7</v>
      </c>
      <c r="D2629" t="s">
        <v>10</v>
      </c>
      <c r="E2629" s="2">
        <v>43336.35224537037</v>
      </c>
      <c r="F2629" t="s">
        <v>298</v>
      </c>
      <c r="G2629" t="s">
        <v>385</v>
      </c>
      <c r="H2629" t="s">
        <v>459</v>
      </c>
      <c r="I2629" t="s">
        <v>581</v>
      </c>
      <c r="J2629" t="s">
        <v>581</v>
      </c>
    </row>
    <row r="2630" spans="1:10" hidden="1" x14ac:dyDescent="0.25">
      <c r="A2630" t="s">
        <v>55</v>
      </c>
      <c r="B2630" t="s">
        <v>6</v>
      </c>
      <c r="C2630" t="s">
        <v>7</v>
      </c>
      <c r="D2630" t="s">
        <v>10</v>
      </c>
      <c r="E2630" s="2">
        <v>43336.35224537037</v>
      </c>
      <c r="F2630" t="s">
        <v>300</v>
      </c>
      <c r="G2630" t="s">
        <v>454</v>
      </c>
      <c r="H2630" t="s">
        <v>318</v>
      </c>
      <c r="I2630" t="s">
        <v>558</v>
      </c>
      <c r="J2630" t="s">
        <v>562</v>
      </c>
    </row>
    <row r="2631" spans="1:10" hidden="1" x14ac:dyDescent="0.25">
      <c r="A2631" t="s">
        <v>174</v>
      </c>
      <c r="B2631" t="s">
        <v>6</v>
      </c>
      <c r="C2631" t="s">
        <v>7</v>
      </c>
      <c r="D2631" t="s">
        <v>10</v>
      </c>
      <c r="E2631" s="2">
        <v>43336.352303240739</v>
      </c>
      <c r="F2631" t="s">
        <v>303</v>
      </c>
      <c r="G2631" t="s">
        <v>432</v>
      </c>
      <c r="H2631" t="s">
        <v>448</v>
      </c>
      <c r="I2631" t="s">
        <v>494</v>
      </c>
      <c r="J2631" t="s">
        <v>501</v>
      </c>
    </row>
    <row r="2632" spans="1:10" hidden="1" x14ac:dyDescent="0.25">
      <c r="A2632" t="s">
        <v>390</v>
      </c>
      <c r="B2632" t="s">
        <v>6</v>
      </c>
      <c r="C2632" t="s">
        <v>7</v>
      </c>
      <c r="D2632" t="s">
        <v>10</v>
      </c>
      <c r="E2632" s="2">
        <v>43336.352372685185</v>
      </c>
      <c r="F2632" t="s">
        <v>586</v>
      </c>
      <c r="G2632" t="s">
        <v>323</v>
      </c>
      <c r="H2632" t="s">
        <v>445</v>
      </c>
      <c r="I2632" t="s">
        <v>490</v>
      </c>
      <c r="J2632" t="s">
        <v>491</v>
      </c>
    </row>
    <row r="2633" spans="1:10" hidden="1" x14ac:dyDescent="0.25">
      <c r="A2633" t="s">
        <v>479</v>
      </c>
      <c r="B2633" t="s">
        <v>6</v>
      </c>
      <c r="C2633" t="s">
        <v>7</v>
      </c>
      <c r="D2633" t="s">
        <v>476</v>
      </c>
      <c r="E2633" s="2">
        <v>43336.352870370371</v>
      </c>
      <c r="F2633" t="s">
        <v>298</v>
      </c>
      <c r="G2633" t="s">
        <v>385</v>
      </c>
      <c r="H2633" t="s">
        <v>460</v>
      </c>
      <c r="I2633" t="s">
        <v>581</v>
      </c>
      <c r="J2633" t="s">
        <v>581</v>
      </c>
    </row>
    <row r="2634" spans="1:10" hidden="1" x14ac:dyDescent="0.25">
      <c r="A2634" t="s">
        <v>107</v>
      </c>
      <c r="B2634" t="s">
        <v>6</v>
      </c>
      <c r="C2634" t="s">
        <v>7</v>
      </c>
      <c r="D2634" t="s">
        <v>10</v>
      </c>
      <c r="E2634" s="2">
        <v>43336.352870370371</v>
      </c>
      <c r="F2634" t="s">
        <v>300</v>
      </c>
      <c r="G2634" t="s">
        <v>454</v>
      </c>
      <c r="H2634" t="s">
        <v>323</v>
      </c>
      <c r="I2634" t="s">
        <v>494</v>
      </c>
      <c r="J2634" t="s">
        <v>13</v>
      </c>
    </row>
    <row r="2635" spans="1:10" hidden="1" x14ac:dyDescent="0.25">
      <c r="A2635" t="s">
        <v>391</v>
      </c>
      <c r="B2635" t="s">
        <v>6</v>
      </c>
      <c r="C2635" t="s">
        <v>7</v>
      </c>
      <c r="D2635" t="s">
        <v>10</v>
      </c>
      <c r="E2635" s="2">
        <v>43336.352997685186</v>
      </c>
      <c r="F2635" t="s">
        <v>586</v>
      </c>
      <c r="G2635" t="s">
        <v>323</v>
      </c>
      <c r="H2635" t="s">
        <v>446</v>
      </c>
      <c r="I2635" t="s">
        <v>490</v>
      </c>
      <c r="J2635" t="s">
        <v>491</v>
      </c>
    </row>
    <row r="2636" spans="1:10" hidden="1" x14ac:dyDescent="0.25">
      <c r="A2636" t="s">
        <v>381</v>
      </c>
      <c r="B2636" t="s">
        <v>6</v>
      </c>
      <c r="C2636" t="s">
        <v>7</v>
      </c>
      <c r="D2636" t="s">
        <v>476</v>
      </c>
      <c r="E2636" s="2">
        <v>43336.353495370371</v>
      </c>
      <c r="F2636" t="s">
        <v>298</v>
      </c>
      <c r="G2636" t="s">
        <v>385</v>
      </c>
      <c r="H2636" t="s">
        <v>461</v>
      </c>
      <c r="I2636" t="s">
        <v>581</v>
      </c>
      <c r="J2636" t="s">
        <v>581</v>
      </c>
    </row>
    <row r="2637" spans="1:10" hidden="1" x14ac:dyDescent="0.25">
      <c r="A2637" t="s">
        <v>93</v>
      </c>
      <c r="B2637" t="s">
        <v>6</v>
      </c>
      <c r="C2637" t="s">
        <v>7</v>
      </c>
      <c r="D2637" t="s">
        <v>27</v>
      </c>
      <c r="E2637" s="2">
        <v>43336.35365740741</v>
      </c>
      <c r="F2637" t="s">
        <v>300</v>
      </c>
      <c r="G2637" t="s">
        <v>454</v>
      </c>
      <c r="H2637" t="s">
        <v>385</v>
      </c>
      <c r="I2637" t="s">
        <v>552</v>
      </c>
      <c r="J2637" t="s">
        <v>565</v>
      </c>
    </row>
    <row r="2638" spans="1:10" hidden="1" x14ac:dyDescent="0.25">
      <c r="A2638" t="s">
        <v>415</v>
      </c>
      <c r="B2638" t="s">
        <v>6</v>
      </c>
      <c r="C2638" t="s">
        <v>7</v>
      </c>
      <c r="D2638" t="s">
        <v>476</v>
      </c>
      <c r="E2638" s="2">
        <v>43336.354120370372</v>
      </c>
      <c r="F2638" t="s">
        <v>298</v>
      </c>
      <c r="G2638" t="s">
        <v>385</v>
      </c>
      <c r="H2638" t="s">
        <v>462</v>
      </c>
      <c r="I2638" t="s">
        <v>581</v>
      </c>
      <c r="J2638" t="s">
        <v>581</v>
      </c>
    </row>
    <row r="2639" spans="1:10" hidden="1" x14ac:dyDescent="0.25">
      <c r="A2639" t="s">
        <v>68</v>
      </c>
      <c r="B2639" t="s">
        <v>6</v>
      </c>
      <c r="C2639" t="s">
        <v>7</v>
      </c>
      <c r="D2639" t="s">
        <v>10</v>
      </c>
      <c r="E2639" s="2">
        <v>43336.354259259257</v>
      </c>
      <c r="F2639" t="s">
        <v>300</v>
      </c>
      <c r="G2639" t="s">
        <v>454</v>
      </c>
      <c r="H2639" t="s">
        <v>457</v>
      </c>
      <c r="I2639" t="s">
        <v>552</v>
      </c>
      <c r="J2639" t="s">
        <v>568</v>
      </c>
    </row>
    <row r="2640" spans="1:10" hidden="1" x14ac:dyDescent="0.25">
      <c r="A2640" t="s">
        <v>95</v>
      </c>
      <c r="B2640" t="s">
        <v>6</v>
      </c>
      <c r="C2640" t="s">
        <v>7</v>
      </c>
      <c r="D2640" t="s">
        <v>10</v>
      </c>
      <c r="E2640" s="2">
        <v>43336.354895833334</v>
      </c>
      <c r="F2640" t="s">
        <v>300</v>
      </c>
      <c r="G2640" t="s">
        <v>454</v>
      </c>
      <c r="H2640" t="s">
        <v>458</v>
      </c>
      <c r="I2640" t="s">
        <v>552</v>
      </c>
      <c r="J2640" t="s">
        <v>568</v>
      </c>
    </row>
    <row r="2641" spans="1:10" hidden="1" x14ac:dyDescent="0.25">
      <c r="A2641" t="s">
        <v>58</v>
      </c>
      <c r="B2641" t="s">
        <v>6</v>
      </c>
      <c r="C2641" t="s">
        <v>7</v>
      </c>
      <c r="D2641" t="s">
        <v>10</v>
      </c>
      <c r="E2641" s="2">
        <v>43336.355509259258</v>
      </c>
      <c r="F2641" t="s">
        <v>300</v>
      </c>
      <c r="G2641" t="s">
        <v>454</v>
      </c>
      <c r="H2641" t="s">
        <v>459</v>
      </c>
      <c r="I2641" t="s">
        <v>552</v>
      </c>
      <c r="J2641" t="s">
        <v>568</v>
      </c>
    </row>
    <row r="2642" spans="1:10" hidden="1" x14ac:dyDescent="0.25">
      <c r="A2642" t="s">
        <v>15</v>
      </c>
      <c r="B2642" t="s">
        <v>6</v>
      </c>
      <c r="C2642" t="s">
        <v>7</v>
      </c>
      <c r="D2642" t="s">
        <v>484</v>
      </c>
      <c r="E2642" s="2">
        <v>43336.355509259258</v>
      </c>
      <c r="F2642" t="s">
        <v>298</v>
      </c>
      <c r="G2642" t="s">
        <v>385</v>
      </c>
      <c r="H2642" t="s">
        <v>453</v>
      </c>
      <c r="I2642" t="s">
        <v>541</v>
      </c>
      <c r="J2642" t="s">
        <v>542</v>
      </c>
    </row>
    <row r="2643" spans="1:10" hidden="1" x14ac:dyDescent="0.25">
      <c r="A2643" t="s">
        <v>159</v>
      </c>
      <c r="B2643" t="s">
        <v>6</v>
      </c>
      <c r="C2643" t="s">
        <v>7</v>
      </c>
      <c r="D2643" t="s">
        <v>10</v>
      </c>
      <c r="E2643" s="2">
        <v>43336.356122685182</v>
      </c>
      <c r="F2643" t="s">
        <v>298</v>
      </c>
      <c r="G2643" t="s">
        <v>385</v>
      </c>
      <c r="H2643" t="s">
        <v>454</v>
      </c>
      <c r="I2643" t="s">
        <v>492</v>
      </c>
      <c r="J2643" t="s">
        <v>493</v>
      </c>
    </row>
    <row r="2644" spans="1:10" hidden="1" x14ac:dyDescent="0.25">
      <c r="A2644" t="s">
        <v>54</v>
      </c>
      <c r="B2644" t="s">
        <v>6</v>
      </c>
      <c r="C2644" t="s">
        <v>7</v>
      </c>
      <c r="D2644" t="s">
        <v>10</v>
      </c>
      <c r="E2644" s="2">
        <v>43336.356134259258</v>
      </c>
      <c r="F2644" t="s">
        <v>300</v>
      </c>
      <c r="G2644" t="s">
        <v>454</v>
      </c>
      <c r="H2644" t="s">
        <v>460</v>
      </c>
      <c r="I2644" t="s">
        <v>552</v>
      </c>
      <c r="J2644" t="s">
        <v>568</v>
      </c>
    </row>
    <row r="2645" spans="1:10" hidden="1" x14ac:dyDescent="0.25">
      <c r="A2645" t="s">
        <v>102</v>
      </c>
      <c r="B2645" t="s">
        <v>6</v>
      </c>
      <c r="C2645" t="s">
        <v>7</v>
      </c>
      <c r="D2645" t="s">
        <v>10</v>
      </c>
      <c r="E2645" s="2">
        <v>43336.356782407405</v>
      </c>
      <c r="F2645" t="s">
        <v>300</v>
      </c>
      <c r="G2645" t="s">
        <v>454</v>
      </c>
      <c r="H2645" t="s">
        <v>461</v>
      </c>
      <c r="I2645" t="s">
        <v>533</v>
      </c>
      <c r="J2645" t="s">
        <v>543</v>
      </c>
    </row>
    <row r="2646" spans="1:10" hidden="1" x14ac:dyDescent="0.25">
      <c r="A2646" t="s">
        <v>61</v>
      </c>
      <c r="B2646" t="s">
        <v>6</v>
      </c>
      <c r="C2646" t="s">
        <v>7</v>
      </c>
      <c r="D2646" t="s">
        <v>476</v>
      </c>
      <c r="E2646" s="2">
        <v>43336.357395833336</v>
      </c>
      <c r="F2646" t="s">
        <v>300</v>
      </c>
      <c r="G2646" t="s">
        <v>454</v>
      </c>
      <c r="H2646" t="s">
        <v>462</v>
      </c>
      <c r="I2646" t="s">
        <v>533</v>
      </c>
      <c r="J2646" t="s">
        <v>543</v>
      </c>
    </row>
    <row r="2647" spans="1:10" hidden="1" x14ac:dyDescent="0.25">
      <c r="A2647" t="s">
        <v>166</v>
      </c>
      <c r="B2647" t="s">
        <v>6</v>
      </c>
      <c r="C2647" t="s">
        <v>7</v>
      </c>
      <c r="D2647" t="s">
        <v>8</v>
      </c>
      <c r="E2647" s="2">
        <v>43336.357523148145</v>
      </c>
      <c r="F2647" t="s">
        <v>298</v>
      </c>
      <c r="G2647" t="s">
        <v>385</v>
      </c>
      <c r="H2647" t="s">
        <v>455</v>
      </c>
      <c r="I2647" t="s">
        <v>492</v>
      </c>
      <c r="J2647" t="s">
        <v>493</v>
      </c>
    </row>
    <row r="2648" spans="1:10" hidden="1" x14ac:dyDescent="0.25">
      <c r="A2648" t="s">
        <v>53</v>
      </c>
      <c r="B2648" t="s">
        <v>6</v>
      </c>
      <c r="C2648" t="s">
        <v>7</v>
      </c>
      <c r="D2648" t="s">
        <v>476</v>
      </c>
      <c r="E2648" s="2">
        <v>43336.358032407406</v>
      </c>
      <c r="F2648" t="s">
        <v>300</v>
      </c>
      <c r="G2648" t="s">
        <v>454</v>
      </c>
      <c r="H2648" t="s">
        <v>453</v>
      </c>
      <c r="I2648" t="s">
        <v>533</v>
      </c>
      <c r="J2648" t="s">
        <v>543</v>
      </c>
    </row>
    <row r="2649" spans="1:10" hidden="1" x14ac:dyDescent="0.25">
      <c r="A2649" t="s">
        <v>180</v>
      </c>
      <c r="B2649" t="s">
        <v>6</v>
      </c>
      <c r="C2649" t="s">
        <v>7</v>
      </c>
      <c r="D2649" t="s">
        <v>10</v>
      </c>
      <c r="E2649" s="2">
        <v>43336.358148148145</v>
      </c>
      <c r="F2649" t="s">
        <v>298</v>
      </c>
      <c r="G2649" t="s">
        <v>385</v>
      </c>
      <c r="H2649" t="s">
        <v>456</v>
      </c>
      <c r="I2649" t="s">
        <v>492</v>
      </c>
      <c r="J2649" t="s">
        <v>493</v>
      </c>
    </row>
    <row r="2650" spans="1:10" hidden="1" x14ac:dyDescent="0.25">
      <c r="A2650" t="s">
        <v>156</v>
      </c>
      <c r="B2650" t="s">
        <v>6</v>
      </c>
      <c r="C2650" t="s">
        <v>7</v>
      </c>
      <c r="D2650" t="s">
        <v>476</v>
      </c>
      <c r="E2650" s="2">
        <v>43336.358668981484</v>
      </c>
      <c r="F2650" t="s">
        <v>300</v>
      </c>
      <c r="G2650" t="s">
        <v>454</v>
      </c>
      <c r="H2650" t="s">
        <v>454</v>
      </c>
      <c r="I2650" t="s">
        <v>533</v>
      </c>
      <c r="J2650" t="s">
        <v>543</v>
      </c>
    </row>
    <row r="2651" spans="1:10" hidden="1" x14ac:dyDescent="0.25">
      <c r="A2651" t="s">
        <v>160</v>
      </c>
      <c r="B2651" t="s">
        <v>6</v>
      </c>
      <c r="C2651" t="s">
        <v>7</v>
      </c>
      <c r="D2651" t="s">
        <v>10</v>
      </c>
      <c r="E2651" s="2">
        <v>43336.358749999999</v>
      </c>
      <c r="F2651" t="s">
        <v>298</v>
      </c>
      <c r="G2651" t="s">
        <v>385</v>
      </c>
      <c r="H2651" t="s">
        <v>426</v>
      </c>
      <c r="I2651" t="s">
        <v>492</v>
      </c>
      <c r="J2651" t="s">
        <v>493</v>
      </c>
    </row>
    <row r="2652" spans="1:10" hidden="1" x14ac:dyDescent="0.25">
      <c r="A2652" t="s">
        <v>70</v>
      </c>
      <c r="B2652" t="s">
        <v>6</v>
      </c>
      <c r="C2652" t="s">
        <v>7</v>
      </c>
      <c r="D2652" t="s">
        <v>10</v>
      </c>
      <c r="E2652" s="2">
        <v>43336.3593287037</v>
      </c>
      <c r="F2652" t="s">
        <v>300</v>
      </c>
      <c r="G2652" t="s">
        <v>454</v>
      </c>
      <c r="H2652" t="s">
        <v>455</v>
      </c>
      <c r="I2652" t="s">
        <v>533</v>
      </c>
      <c r="J2652" t="s">
        <v>543</v>
      </c>
    </row>
    <row r="2653" spans="1:10" hidden="1" x14ac:dyDescent="0.25">
      <c r="A2653" t="s">
        <v>157</v>
      </c>
      <c r="B2653" t="s">
        <v>6</v>
      </c>
      <c r="C2653" t="s">
        <v>7</v>
      </c>
      <c r="D2653" t="s">
        <v>13</v>
      </c>
      <c r="E2653" s="2">
        <v>43336.359456018516</v>
      </c>
      <c r="F2653" t="s">
        <v>298</v>
      </c>
      <c r="G2653" t="s">
        <v>385</v>
      </c>
      <c r="H2653" t="s">
        <v>427</v>
      </c>
      <c r="I2653" t="s">
        <v>13</v>
      </c>
      <c r="J2653" t="s">
        <v>535</v>
      </c>
    </row>
    <row r="2654" spans="1:10" hidden="1" x14ac:dyDescent="0.25">
      <c r="A2654" t="s">
        <v>52</v>
      </c>
      <c r="B2654" t="s">
        <v>6</v>
      </c>
      <c r="C2654" t="s">
        <v>7</v>
      </c>
      <c r="D2654" t="s">
        <v>10</v>
      </c>
      <c r="E2654" s="2">
        <v>43336.359953703701</v>
      </c>
      <c r="F2654" t="s">
        <v>300</v>
      </c>
      <c r="G2654" t="s">
        <v>454</v>
      </c>
      <c r="H2654" t="s">
        <v>456</v>
      </c>
      <c r="I2654" t="s">
        <v>533</v>
      </c>
      <c r="J2654" t="s">
        <v>543</v>
      </c>
    </row>
    <row r="2655" spans="1:10" hidden="1" x14ac:dyDescent="0.25">
      <c r="A2655" t="s">
        <v>51</v>
      </c>
      <c r="B2655" t="s">
        <v>6</v>
      </c>
      <c r="C2655" t="s">
        <v>7</v>
      </c>
      <c r="D2655" t="s">
        <v>10</v>
      </c>
      <c r="E2655" s="2">
        <v>43336.360578703701</v>
      </c>
      <c r="F2655" t="s">
        <v>300</v>
      </c>
      <c r="G2655" t="s">
        <v>454</v>
      </c>
      <c r="H2655" t="s">
        <v>426</v>
      </c>
      <c r="I2655" t="s">
        <v>533</v>
      </c>
      <c r="J2655" t="s">
        <v>543</v>
      </c>
    </row>
    <row r="2656" spans="1:10" hidden="1" x14ac:dyDescent="0.25">
      <c r="A2656" t="s">
        <v>222</v>
      </c>
      <c r="B2656" t="s">
        <v>6</v>
      </c>
      <c r="C2656" t="s">
        <v>7</v>
      </c>
      <c r="D2656" t="s">
        <v>484</v>
      </c>
      <c r="E2656" s="2">
        <v>43336.360856481479</v>
      </c>
      <c r="F2656" t="s">
        <v>298</v>
      </c>
      <c r="G2656" t="s">
        <v>385</v>
      </c>
      <c r="H2656" t="s">
        <v>428</v>
      </c>
      <c r="I2656" t="s">
        <v>13</v>
      </c>
      <c r="J2656" t="s">
        <v>532</v>
      </c>
    </row>
    <row r="2657" spans="1:10" hidden="1" x14ac:dyDescent="0.25">
      <c r="A2657" t="s">
        <v>90</v>
      </c>
      <c r="B2657" t="s">
        <v>6</v>
      </c>
      <c r="C2657" t="s">
        <v>7</v>
      </c>
      <c r="D2657" t="s">
        <v>10</v>
      </c>
      <c r="E2657" s="2">
        <v>43336.361203703702</v>
      </c>
      <c r="F2657" t="s">
        <v>300</v>
      </c>
      <c r="G2657" t="s">
        <v>454</v>
      </c>
      <c r="H2657" t="s">
        <v>427</v>
      </c>
      <c r="I2657" t="s">
        <v>533</v>
      </c>
      <c r="J2657" t="s">
        <v>543</v>
      </c>
    </row>
    <row r="2658" spans="1:10" hidden="1" x14ac:dyDescent="0.25">
      <c r="A2658" t="s">
        <v>230</v>
      </c>
      <c r="B2658" t="s">
        <v>6</v>
      </c>
      <c r="C2658" t="s">
        <v>7</v>
      </c>
      <c r="D2658" t="s">
        <v>10</v>
      </c>
      <c r="E2658" s="2">
        <v>43336.361481481479</v>
      </c>
      <c r="F2658" t="s">
        <v>298</v>
      </c>
      <c r="G2658" t="s">
        <v>385</v>
      </c>
      <c r="H2658" t="s">
        <v>429</v>
      </c>
      <c r="I2658" t="s">
        <v>509</v>
      </c>
      <c r="J2658" t="s">
        <v>510</v>
      </c>
    </row>
    <row r="2659" spans="1:10" hidden="1" x14ac:dyDescent="0.25">
      <c r="A2659" t="s">
        <v>106</v>
      </c>
      <c r="B2659" t="s">
        <v>6</v>
      </c>
      <c r="C2659" t="s">
        <v>7</v>
      </c>
      <c r="D2659" t="s">
        <v>10</v>
      </c>
      <c r="E2659" s="2">
        <v>43336.361840277779</v>
      </c>
      <c r="F2659" t="s">
        <v>300</v>
      </c>
      <c r="G2659" t="s">
        <v>454</v>
      </c>
      <c r="H2659" t="s">
        <v>428</v>
      </c>
      <c r="I2659" t="s">
        <v>533</v>
      </c>
      <c r="J2659" t="s">
        <v>543</v>
      </c>
    </row>
    <row r="2660" spans="1:10" hidden="1" x14ac:dyDescent="0.25">
      <c r="A2660" t="s">
        <v>226</v>
      </c>
      <c r="B2660" t="s">
        <v>6</v>
      </c>
      <c r="C2660" t="s">
        <v>7</v>
      </c>
      <c r="D2660" t="s">
        <v>10</v>
      </c>
      <c r="E2660" s="2">
        <v>43336.36209490741</v>
      </c>
      <c r="F2660" t="s">
        <v>298</v>
      </c>
      <c r="G2660" t="s">
        <v>385</v>
      </c>
      <c r="H2660" t="s">
        <v>430</v>
      </c>
      <c r="I2660" t="s">
        <v>509</v>
      </c>
      <c r="J2660" t="s">
        <v>510</v>
      </c>
    </row>
    <row r="2661" spans="1:10" hidden="1" x14ac:dyDescent="0.25">
      <c r="A2661" t="s">
        <v>50</v>
      </c>
      <c r="B2661" t="s">
        <v>6</v>
      </c>
      <c r="C2661" t="s">
        <v>7</v>
      </c>
      <c r="D2661" t="s">
        <v>10</v>
      </c>
      <c r="E2661" s="2">
        <v>43336.362453703703</v>
      </c>
      <c r="F2661" t="s">
        <v>300</v>
      </c>
      <c r="G2661" t="s">
        <v>454</v>
      </c>
      <c r="H2661" t="s">
        <v>429</v>
      </c>
      <c r="I2661" t="s">
        <v>533</v>
      </c>
      <c r="J2661" t="s">
        <v>543</v>
      </c>
    </row>
    <row r="2662" spans="1:10" hidden="1" x14ac:dyDescent="0.25">
      <c r="A2662" t="s">
        <v>161</v>
      </c>
      <c r="B2662" t="s">
        <v>6</v>
      </c>
      <c r="C2662" t="s">
        <v>7</v>
      </c>
      <c r="D2662" t="s">
        <v>10</v>
      </c>
      <c r="E2662" s="2">
        <v>43336.362696759257</v>
      </c>
      <c r="F2662" t="s">
        <v>298</v>
      </c>
      <c r="G2662" t="s">
        <v>385</v>
      </c>
      <c r="H2662" t="s">
        <v>431</v>
      </c>
      <c r="I2662" t="s">
        <v>492</v>
      </c>
      <c r="J2662" t="s">
        <v>493</v>
      </c>
    </row>
    <row r="2663" spans="1:10" hidden="1" x14ac:dyDescent="0.25">
      <c r="A2663" t="s">
        <v>49</v>
      </c>
      <c r="B2663" t="s">
        <v>6</v>
      </c>
      <c r="C2663" t="s">
        <v>7</v>
      </c>
      <c r="D2663" t="s">
        <v>10</v>
      </c>
      <c r="E2663" s="2">
        <v>43336.36309027778</v>
      </c>
      <c r="F2663" t="s">
        <v>300</v>
      </c>
      <c r="G2663" t="s">
        <v>454</v>
      </c>
      <c r="H2663" t="s">
        <v>430</v>
      </c>
      <c r="I2663" t="s">
        <v>533</v>
      </c>
      <c r="J2663" t="s">
        <v>543</v>
      </c>
    </row>
    <row r="2664" spans="1:10" hidden="1" x14ac:dyDescent="0.25">
      <c r="A2664" t="s">
        <v>228</v>
      </c>
      <c r="B2664" t="s">
        <v>6</v>
      </c>
      <c r="C2664" t="s">
        <v>7</v>
      </c>
      <c r="D2664" t="s">
        <v>10</v>
      </c>
      <c r="E2664" s="2">
        <v>43336.363310185188</v>
      </c>
      <c r="F2664" t="s">
        <v>298</v>
      </c>
      <c r="G2664" t="s">
        <v>385</v>
      </c>
      <c r="H2664" t="s">
        <v>432</v>
      </c>
      <c r="I2664" t="s">
        <v>509</v>
      </c>
      <c r="J2664" t="s">
        <v>523</v>
      </c>
    </row>
    <row r="2665" spans="1:10" hidden="1" x14ac:dyDescent="0.25">
      <c r="A2665" t="s">
        <v>87</v>
      </c>
      <c r="B2665" t="s">
        <v>6</v>
      </c>
      <c r="C2665" t="s">
        <v>7</v>
      </c>
      <c r="D2665" t="s">
        <v>10</v>
      </c>
      <c r="E2665" s="2">
        <v>43336.363946759258</v>
      </c>
      <c r="F2665" t="s">
        <v>298</v>
      </c>
      <c r="G2665" t="s">
        <v>385</v>
      </c>
      <c r="H2665" t="s">
        <v>433</v>
      </c>
      <c r="I2665" t="s">
        <v>492</v>
      </c>
      <c r="J2665" t="s">
        <v>521</v>
      </c>
    </row>
    <row r="2666" spans="1:10" hidden="1" x14ac:dyDescent="0.25">
      <c r="A2666" t="s">
        <v>220</v>
      </c>
      <c r="B2666" t="s">
        <v>6</v>
      </c>
      <c r="C2666" t="s">
        <v>7</v>
      </c>
      <c r="D2666" t="s">
        <v>484</v>
      </c>
      <c r="E2666" s="2">
        <v>43336.365347222221</v>
      </c>
      <c r="F2666" t="s">
        <v>298</v>
      </c>
      <c r="G2666" t="s">
        <v>385</v>
      </c>
      <c r="H2666" t="s">
        <v>434</v>
      </c>
      <c r="I2666" t="s">
        <v>509</v>
      </c>
      <c r="J2666" t="s">
        <v>510</v>
      </c>
    </row>
    <row r="2667" spans="1:10" hidden="1" x14ac:dyDescent="0.25">
      <c r="A2667" t="s">
        <v>267</v>
      </c>
      <c r="B2667" t="s">
        <v>6</v>
      </c>
      <c r="C2667" t="s">
        <v>7</v>
      </c>
      <c r="D2667" t="s">
        <v>10</v>
      </c>
      <c r="E2667" s="2">
        <v>43336.377800925926</v>
      </c>
      <c r="F2667" t="s">
        <v>302</v>
      </c>
      <c r="G2667" t="s">
        <v>318</v>
      </c>
      <c r="H2667" t="s">
        <v>318</v>
      </c>
      <c r="I2667" t="s">
        <v>498</v>
      </c>
      <c r="J2667" t="s">
        <v>498</v>
      </c>
    </row>
    <row r="2668" spans="1:10" hidden="1" x14ac:dyDescent="0.25">
      <c r="A2668" t="s">
        <v>240</v>
      </c>
      <c r="B2668" t="s">
        <v>6</v>
      </c>
      <c r="C2668" t="s">
        <v>7</v>
      </c>
      <c r="D2668" t="s">
        <v>10</v>
      </c>
      <c r="E2668" s="2">
        <v>43336.378391203703</v>
      </c>
      <c r="F2668" t="s">
        <v>302</v>
      </c>
      <c r="G2668" t="s">
        <v>318</v>
      </c>
      <c r="H2668" t="s">
        <v>323</v>
      </c>
      <c r="I2668" t="s">
        <v>498</v>
      </c>
      <c r="J2668" t="s">
        <v>498</v>
      </c>
    </row>
    <row r="2669" spans="1:10" hidden="1" x14ac:dyDescent="0.25">
      <c r="A2669" t="s">
        <v>239</v>
      </c>
      <c r="B2669" t="s">
        <v>6</v>
      </c>
      <c r="C2669" t="s">
        <v>7</v>
      </c>
      <c r="D2669" t="s">
        <v>10</v>
      </c>
      <c r="E2669" s="2">
        <v>43336.378969907404</v>
      </c>
      <c r="F2669" t="s">
        <v>302</v>
      </c>
      <c r="G2669" t="s">
        <v>318</v>
      </c>
      <c r="H2669" t="s">
        <v>385</v>
      </c>
      <c r="I2669" t="s">
        <v>498</v>
      </c>
      <c r="J2669" t="s">
        <v>498</v>
      </c>
    </row>
    <row r="2670" spans="1:10" hidden="1" x14ac:dyDescent="0.25">
      <c r="A2670" t="s">
        <v>225</v>
      </c>
      <c r="B2670" t="s">
        <v>6</v>
      </c>
      <c r="C2670" t="s">
        <v>7</v>
      </c>
      <c r="D2670" t="s">
        <v>484</v>
      </c>
      <c r="E2670" s="2">
        <v>43336.379351851851</v>
      </c>
      <c r="F2670" t="s">
        <v>298</v>
      </c>
      <c r="G2670" t="s">
        <v>457</v>
      </c>
      <c r="H2670" t="s">
        <v>435</v>
      </c>
      <c r="I2670" t="s">
        <v>492</v>
      </c>
      <c r="J2670" t="s">
        <v>493</v>
      </c>
    </row>
    <row r="2671" spans="1:10" hidden="1" x14ac:dyDescent="0.25">
      <c r="A2671" t="s">
        <v>150</v>
      </c>
      <c r="B2671" t="s">
        <v>6</v>
      </c>
      <c r="C2671" t="s">
        <v>7</v>
      </c>
      <c r="D2671" t="s">
        <v>476</v>
      </c>
      <c r="E2671" s="2">
        <v>43336.379537037035</v>
      </c>
      <c r="F2671" t="s">
        <v>299</v>
      </c>
      <c r="G2671" t="s">
        <v>457</v>
      </c>
      <c r="H2671" t="s">
        <v>458</v>
      </c>
      <c r="I2671" t="s">
        <v>545</v>
      </c>
      <c r="J2671" t="s">
        <v>497</v>
      </c>
    </row>
    <row r="2672" spans="1:10" hidden="1" x14ac:dyDescent="0.25">
      <c r="A2672" t="s">
        <v>268</v>
      </c>
      <c r="B2672" t="s">
        <v>6</v>
      </c>
      <c r="C2672" t="s">
        <v>7</v>
      </c>
      <c r="D2672" t="s">
        <v>10</v>
      </c>
      <c r="E2672" s="2">
        <v>43336.379571759258</v>
      </c>
      <c r="F2672" t="s">
        <v>302</v>
      </c>
      <c r="G2672" t="s">
        <v>318</v>
      </c>
      <c r="H2672" t="s">
        <v>457</v>
      </c>
      <c r="I2672" t="s">
        <v>498</v>
      </c>
      <c r="J2672" t="s">
        <v>498</v>
      </c>
    </row>
    <row r="2673" spans="1:10" hidden="1" x14ac:dyDescent="0.25">
      <c r="A2673" t="s">
        <v>272</v>
      </c>
      <c r="B2673" t="s">
        <v>6</v>
      </c>
      <c r="C2673" t="s">
        <v>7</v>
      </c>
      <c r="D2673" t="s">
        <v>10</v>
      </c>
      <c r="E2673" s="2">
        <v>43336.380162037036</v>
      </c>
      <c r="F2673" t="s">
        <v>300</v>
      </c>
      <c r="G2673" t="s">
        <v>455</v>
      </c>
      <c r="H2673" t="s">
        <v>431</v>
      </c>
      <c r="I2673" t="s">
        <v>494</v>
      </c>
      <c r="J2673" t="s">
        <v>582</v>
      </c>
    </row>
    <row r="2674" spans="1:10" hidden="1" x14ac:dyDescent="0.25">
      <c r="A2674" t="s">
        <v>269</v>
      </c>
      <c r="B2674" t="s">
        <v>6</v>
      </c>
      <c r="C2674" t="s">
        <v>7</v>
      </c>
      <c r="D2674" t="s">
        <v>10</v>
      </c>
      <c r="E2674" s="2">
        <v>43336.380173611113</v>
      </c>
      <c r="F2674" t="s">
        <v>302</v>
      </c>
      <c r="G2674" t="s">
        <v>318</v>
      </c>
      <c r="H2674" t="s">
        <v>458</v>
      </c>
      <c r="I2674" t="s">
        <v>498</v>
      </c>
      <c r="J2674" t="s">
        <v>498</v>
      </c>
    </row>
    <row r="2675" spans="1:10" hidden="1" x14ac:dyDescent="0.25">
      <c r="A2675" t="s">
        <v>119</v>
      </c>
      <c r="B2675" t="s">
        <v>6</v>
      </c>
      <c r="C2675" t="s">
        <v>7</v>
      </c>
      <c r="D2675" t="s">
        <v>10</v>
      </c>
      <c r="E2675" s="2">
        <v>43336.380173611113</v>
      </c>
      <c r="F2675" t="s">
        <v>299</v>
      </c>
      <c r="G2675" t="s">
        <v>457</v>
      </c>
      <c r="H2675" t="s">
        <v>459</v>
      </c>
      <c r="I2675" t="s">
        <v>545</v>
      </c>
      <c r="J2675" t="s">
        <v>497</v>
      </c>
    </row>
    <row r="2676" spans="1:10" hidden="1" x14ac:dyDescent="0.25">
      <c r="A2676" t="s">
        <v>282</v>
      </c>
      <c r="B2676" t="s">
        <v>6</v>
      </c>
      <c r="C2676" t="s">
        <v>7</v>
      </c>
      <c r="D2676" t="s">
        <v>10</v>
      </c>
      <c r="E2676" s="2">
        <v>43336.38077546296</v>
      </c>
      <c r="F2676" t="s">
        <v>300</v>
      </c>
      <c r="G2676" t="s">
        <v>455</v>
      </c>
      <c r="H2676" t="s">
        <v>432</v>
      </c>
      <c r="I2676" t="s">
        <v>494</v>
      </c>
      <c r="J2676" t="s">
        <v>582</v>
      </c>
    </row>
    <row r="2677" spans="1:10" hidden="1" x14ac:dyDescent="0.25">
      <c r="A2677" t="s">
        <v>290</v>
      </c>
      <c r="B2677" t="s">
        <v>6</v>
      </c>
      <c r="C2677" t="s">
        <v>7</v>
      </c>
      <c r="D2677" t="s">
        <v>476</v>
      </c>
      <c r="E2677" s="2">
        <v>43336.380810185183</v>
      </c>
      <c r="F2677" t="s">
        <v>303</v>
      </c>
      <c r="G2677" t="s">
        <v>432</v>
      </c>
      <c r="H2677" t="s">
        <v>449</v>
      </c>
      <c r="I2677" t="s">
        <v>494</v>
      </c>
      <c r="J2677" t="s">
        <v>501</v>
      </c>
    </row>
    <row r="2678" spans="1:10" hidden="1" x14ac:dyDescent="0.25">
      <c r="A2678" t="s">
        <v>270</v>
      </c>
      <c r="B2678" t="s">
        <v>6</v>
      </c>
      <c r="C2678" t="s">
        <v>7</v>
      </c>
      <c r="D2678" t="s">
        <v>27</v>
      </c>
      <c r="E2678" s="2">
        <v>43336.380972222221</v>
      </c>
      <c r="F2678" t="s">
        <v>302</v>
      </c>
      <c r="G2678" t="s">
        <v>318</v>
      </c>
      <c r="H2678" t="s">
        <v>459</v>
      </c>
      <c r="I2678" t="s">
        <v>498</v>
      </c>
      <c r="J2678" t="s">
        <v>498</v>
      </c>
    </row>
    <row r="2679" spans="1:10" hidden="1" x14ac:dyDescent="0.25">
      <c r="A2679" t="s">
        <v>245</v>
      </c>
      <c r="B2679" t="s">
        <v>6</v>
      </c>
      <c r="C2679" t="s">
        <v>7</v>
      </c>
      <c r="D2679" t="s">
        <v>10</v>
      </c>
      <c r="E2679" s="2">
        <v>43336.38140046296</v>
      </c>
      <c r="F2679" t="s">
        <v>300</v>
      </c>
      <c r="G2679" t="s">
        <v>455</v>
      </c>
      <c r="H2679" t="s">
        <v>433</v>
      </c>
      <c r="I2679" t="s">
        <v>494</v>
      </c>
      <c r="J2679" t="s">
        <v>582</v>
      </c>
    </row>
    <row r="2680" spans="1:10" hidden="1" x14ac:dyDescent="0.25">
      <c r="A2680" t="s">
        <v>236</v>
      </c>
      <c r="B2680" t="s">
        <v>6</v>
      </c>
      <c r="C2680" t="s">
        <v>7</v>
      </c>
      <c r="D2680" t="s">
        <v>10</v>
      </c>
      <c r="E2680" s="2">
        <v>43336.381423611114</v>
      </c>
      <c r="F2680" t="s">
        <v>303</v>
      </c>
      <c r="G2680" t="s">
        <v>432</v>
      </c>
      <c r="H2680" t="s">
        <v>450</v>
      </c>
      <c r="I2680" t="s">
        <v>494</v>
      </c>
      <c r="J2680" t="s">
        <v>501</v>
      </c>
    </row>
    <row r="2681" spans="1:10" hidden="1" x14ac:dyDescent="0.25">
      <c r="A2681" t="s">
        <v>124</v>
      </c>
      <c r="B2681" t="s">
        <v>6</v>
      </c>
      <c r="C2681" t="s">
        <v>7</v>
      </c>
      <c r="D2681" t="s">
        <v>10</v>
      </c>
      <c r="E2681" s="2">
        <v>43336.381631944445</v>
      </c>
      <c r="F2681" t="s">
        <v>585</v>
      </c>
      <c r="G2681" t="s">
        <v>323</v>
      </c>
      <c r="H2681" t="s">
        <v>429</v>
      </c>
      <c r="I2681" t="s">
        <v>494</v>
      </c>
      <c r="J2681" t="s">
        <v>501</v>
      </c>
    </row>
    <row r="2682" spans="1:10" hidden="1" x14ac:dyDescent="0.25">
      <c r="A2682" t="s">
        <v>246</v>
      </c>
      <c r="B2682" t="s">
        <v>6</v>
      </c>
      <c r="C2682" t="s">
        <v>7</v>
      </c>
      <c r="D2682" t="s">
        <v>10</v>
      </c>
      <c r="E2682" s="2">
        <v>43336.382013888891</v>
      </c>
      <c r="F2682" t="s">
        <v>300</v>
      </c>
      <c r="G2682" t="s">
        <v>455</v>
      </c>
      <c r="H2682" t="s">
        <v>434</v>
      </c>
      <c r="I2682" t="s">
        <v>494</v>
      </c>
      <c r="J2682" t="s">
        <v>582</v>
      </c>
    </row>
    <row r="2683" spans="1:10" hidden="1" x14ac:dyDescent="0.25">
      <c r="A2683" t="s">
        <v>173</v>
      </c>
      <c r="B2683" t="s">
        <v>6</v>
      </c>
      <c r="C2683" t="s">
        <v>7</v>
      </c>
      <c r="D2683" t="s">
        <v>10</v>
      </c>
      <c r="E2683" s="2">
        <v>43336.382048611114</v>
      </c>
      <c r="F2683" t="s">
        <v>303</v>
      </c>
      <c r="G2683" t="s">
        <v>432</v>
      </c>
      <c r="H2683" t="s">
        <v>451</v>
      </c>
      <c r="I2683" t="s">
        <v>494</v>
      </c>
      <c r="J2683" t="s">
        <v>501</v>
      </c>
    </row>
    <row r="2684" spans="1:10" hidden="1" x14ac:dyDescent="0.25">
      <c r="A2684" t="s">
        <v>229</v>
      </c>
      <c r="B2684" t="s">
        <v>306</v>
      </c>
      <c r="C2684" t="s">
        <v>306</v>
      </c>
      <c r="D2684" t="s">
        <v>307</v>
      </c>
      <c r="E2684" s="2">
        <v>43336.382164351853</v>
      </c>
      <c r="F2684" t="s">
        <v>298</v>
      </c>
      <c r="G2684" t="s">
        <v>457</v>
      </c>
      <c r="H2684" t="s">
        <v>436</v>
      </c>
      <c r="I2684" t="s">
        <v>492</v>
      </c>
      <c r="J2684" t="s">
        <v>493</v>
      </c>
    </row>
    <row r="2685" spans="1:10" hidden="1" x14ac:dyDescent="0.25">
      <c r="A2685" t="s">
        <v>43</v>
      </c>
      <c r="B2685" t="s">
        <v>6</v>
      </c>
      <c r="C2685" t="s">
        <v>7</v>
      </c>
      <c r="D2685" t="s">
        <v>10</v>
      </c>
      <c r="E2685" s="2">
        <v>43336.382233796299</v>
      </c>
      <c r="F2685" t="s">
        <v>585</v>
      </c>
      <c r="G2685" t="s">
        <v>323</v>
      </c>
      <c r="H2685" t="s">
        <v>430</v>
      </c>
      <c r="I2685" t="s">
        <v>494</v>
      </c>
      <c r="J2685" t="s">
        <v>501</v>
      </c>
    </row>
    <row r="2686" spans="1:10" hidden="1" x14ac:dyDescent="0.25">
      <c r="A2686" t="s">
        <v>247</v>
      </c>
      <c r="B2686" t="s">
        <v>6</v>
      </c>
      <c r="C2686" t="s">
        <v>7</v>
      </c>
      <c r="D2686" t="s">
        <v>10</v>
      </c>
      <c r="E2686" s="2">
        <v>43336.382627314815</v>
      </c>
      <c r="F2686" t="s">
        <v>300</v>
      </c>
      <c r="G2686" t="s">
        <v>455</v>
      </c>
      <c r="H2686" t="s">
        <v>435</v>
      </c>
      <c r="I2686" t="s">
        <v>494</v>
      </c>
      <c r="J2686" t="s">
        <v>582</v>
      </c>
    </row>
    <row r="2687" spans="1:10" hidden="1" x14ac:dyDescent="0.25">
      <c r="A2687" t="s">
        <v>172</v>
      </c>
      <c r="B2687" t="s">
        <v>6</v>
      </c>
      <c r="C2687" t="s">
        <v>7</v>
      </c>
      <c r="D2687" t="s">
        <v>10</v>
      </c>
      <c r="E2687" s="2">
        <v>43336.382662037038</v>
      </c>
      <c r="F2687" t="s">
        <v>303</v>
      </c>
      <c r="G2687" t="s">
        <v>432</v>
      </c>
      <c r="H2687" t="s">
        <v>452</v>
      </c>
      <c r="I2687" t="s">
        <v>494</v>
      </c>
      <c r="J2687" t="s">
        <v>501</v>
      </c>
    </row>
    <row r="2688" spans="1:10" hidden="1" x14ac:dyDescent="0.25">
      <c r="A2688" t="s">
        <v>42</v>
      </c>
      <c r="B2688" t="s">
        <v>6</v>
      </c>
      <c r="C2688" t="s">
        <v>7</v>
      </c>
      <c r="D2688" t="s">
        <v>10</v>
      </c>
      <c r="E2688" s="2">
        <v>43336.382847222223</v>
      </c>
      <c r="F2688" t="s">
        <v>585</v>
      </c>
      <c r="G2688" t="s">
        <v>323</v>
      </c>
      <c r="H2688" t="s">
        <v>431</v>
      </c>
      <c r="I2688" t="s">
        <v>494</v>
      </c>
      <c r="J2688" t="s">
        <v>501</v>
      </c>
    </row>
    <row r="2689" spans="1:10" hidden="1" x14ac:dyDescent="0.25">
      <c r="A2689" t="s">
        <v>248</v>
      </c>
      <c r="B2689" t="s">
        <v>6</v>
      </c>
      <c r="C2689" t="s">
        <v>7</v>
      </c>
      <c r="D2689" t="s">
        <v>10</v>
      </c>
      <c r="E2689" s="2">
        <v>43336.383275462962</v>
      </c>
      <c r="F2689" t="s">
        <v>300</v>
      </c>
      <c r="G2689" t="s">
        <v>455</v>
      </c>
      <c r="H2689" t="s">
        <v>436</v>
      </c>
      <c r="I2689" t="s">
        <v>494</v>
      </c>
      <c r="J2689" t="s">
        <v>582</v>
      </c>
    </row>
    <row r="2690" spans="1:10" hidden="1" x14ac:dyDescent="0.25">
      <c r="A2690" t="s">
        <v>278</v>
      </c>
      <c r="B2690" t="s">
        <v>6</v>
      </c>
      <c r="C2690" t="s">
        <v>7</v>
      </c>
      <c r="D2690" t="s">
        <v>10</v>
      </c>
      <c r="E2690" s="2">
        <v>43336.383298611108</v>
      </c>
      <c r="F2690" t="s">
        <v>303</v>
      </c>
      <c r="G2690" t="s">
        <v>432</v>
      </c>
      <c r="H2690" t="s">
        <v>318</v>
      </c>
      <c r="I2690" t="s">
        <v>498</v>
      </c>
      <c r="J2690" t="s">
        <v>498</v>
      </c>
    </row>
    <row r="2691" spans="1:10" hidden="1" x14ac:dyDescent="0.25">
      <c r="A2691" t="s">
        <v>234</v>
      </c>
      <c r="B2691" t="s">
        <v>6</v>
      </c>
      <c r="C2691" t="s">
        <v>7</v>
      </c>
      <c r="D2691" t="s">
        <v>10</v>
      </c>
      <c r="E2691" s="2">
        <v>43336.383460648147</v>
      </c>
      <c r="F2691" t="s">
        <v>585</v>
      </c>
      <c r="G2691" t="s">
        <v>323</v>
      </c>
      <c r="H2691" t="s">
        <v>432</v>
      </c>
      <c r="I2691" t="s">
        <v>494</v>
      </c>
      <c r="J2691" t="s">
        <v>501</v>
      </c>
    </row>
    <row r="2692" spans="1:10" hidden="1" x14ac:dyDescent="0.25">
      <c r="A2692" t="s">
        <v>249</v>
      </c>
      <c r="B2692" t="s">
        <v>6</v>
      </c>
      <c r="C2692" t="s">
        <v>7</v>
      </c>
      <c r="D2692" t="s">
        <v>476</v>
      </c>
      <c r="E2692" s="2">
        <v>43336.383877314816</v>
      </c>
      <c r="F2692" t="s">
        <v>300</v>
      </c>
      <c r="G2692" t="s">
        <v>455</v>
      </c>
      <c r="H2692" t="s">
        <v>437</v>
      </c>
      <c r="I2692" t="s">
        <v>494</v>
      </c>
      <c r="J2692" t="s">
        <v>583</v>
      </c>
    </row>
    <row r="2693" spans="1:10" hidden="1" x14ac:dyDescent="0.25">
      <c r="A2693" t="s">
        <v>147</v>
      </c>
      <c r="B2693" t="s">
        <v>6</v>
      </c>
      <c r="C2693" t="s">
        <v>7</v>
      </c>
      <c r="D2693" t="s">
        <v>10</v>
      </c>
      <c r="E2693" s="2">
        <v>43336.383912037039</v>
      </c>
      <c r="F2693" t="s">
        <v>303</v>
      </c>
      <c r="G2693" t="s">
        <v>432</v>
      </c>
      <c r="H2693" t="s">
        <v>323</v>
      </c>
      <c r="I2693" t="s">
        <v>498</v>
      </c>
      <c r="J2693" t="s">
        <v>498</v>
      </c>
    </row>
    <row r="2694" spans="1:10" hidden="1" x14ac:dyDescent="0.25">
      <c r="A2694" t="s">
        <v>294</v>
      </c>
      <c r="B2694" t="s">
        <v>6</v>
      </c>
      <c r="C2694" t="s">
        <v>7</v>
      </c>
      <c r="D2694" t="s">
        <v>10</v>
      </c>
      <c r="E2694" s="2">
        <v>43336.384074074071</v>
      </c>
      <c r="F2694" t="s">
        <v>585</v>
      </c>
      <c r="G2694" t="s">
        <v>323</v>
      </c>
      <c r="H2694" t="s">
        <v>433</v>
      </c>
      <c r="I2694" t="s">
        <v>494</v>
      </c>
      <c r="J2694" t="s">
        <v>501</v>
      </c>
    </row>
    <row r="2695" spans="1:10" hidden="1" x14ac:dyDescent="0.25">
      <c r="A2695" t="s">
        <v>250</v>
      </c>
      <c r="B2695" t="s">
        <v>6</v>
      </c>
      <c r="C2695" t="s">
        <v>7</v>
      </c>
      <c r="D2695" t="s">
        <v>10</v>
      </c>
      <c r="E2695" s="2">
        <v>43336.38449074074</v>
      </c>
      <c r="F2695" t="s">
        <v>300</v>
      </c>
      <c r="G2695" t="s">
        <v>455</v>
      </c>
      <c r="H2695" t="s">
        <v>438</v>
      </c>
      <c r="I2695" t="s">
        <v>494</v>
      </c>
      <c r="J2695" t="s">
        <v>583</v>
      </c>
    </row>
    <row r="2696" spans="1:10" hidden="1" x14ac:dyDescent="0.25">
      <c r="A2696" t="s">
        <v>279</v>
      </c>
      <c r="B2696" t="s">
        <v>6</v>
      </c>
      <c r="C2696" t="s">
        <v>7</v>
      </c>
      <c r="D2696" t="s">
        <v>10</v>
      </c>
      <c r="E2696" s="2">
        <v>43336.38453703704</v>
      </c>
      <c r="F2696" t="s">
        <v>303</v>
      </c>
      <c r="G2696" t="s">
        <v>432</v>
      </c>
      <c r="H2696" t="s">
        <v>385</v>
      </c>
      <c r="I2696" t="s">
        <v>498</v>
      </c>
      <c r="J2696" t="s">
        <v>498</v>
      </c>
    </row>
    <row r="2697" spans="1:10" hidden="1" x14ac:dyDescent="0.25">
      <c r="A2697" t="s">
        <v>295</v>
      </c>
      <c r="B2697" t="s">
        <v>6</v>
      </c>
      <c r="C2697" t="s">
        <v>7</v>
      </c>
      <c r="D2697" t="s">
        <v>10</v>
      </c>
      <c r="E2697" s="2">
        <v>43336.384687500002</v>
      </c>
      <c r="F2697" t="s">
        <v>585</v>
      </c>
      <c r="G2697" t="s">
        <v>323</v>
      </c>
      <c r="H2697" t="s">
        <v>434</v>
      </c>
      <c r="I2697" t="s">
        <v>494</v>
      </c>
      <c r="J2697" t="s">
        <v>501</v>
      </c>
    </row>
    <row r="2698" spans="1:10" hidden="1" x14ac:dyDescent="0.25">
      <c r="A2698" t="s">
        <v>251</v>
      </c>
      <c r="B2698" t="s">
        <v>6</v>
      </c>
      <c r="C2698" t="s">
        <v>7</v>
      </c>
      <c r="D2698" t="s">
        <v>476</v>
      </c>
      <c r="E2698" s="2">
        <v>43336.385104166664</v>
      </c>
      <c r="F2698" t="s">
        <v>300</v>
      </c>
      <c r="G2698" t="s">
        <v>455</v>
      </c>
      <c r="H2698" t="s">
        <v>439</v>
      </c>
      <c r="I2698" t="s">
        <v>494</v>
      </c>
      <c r="J2698" t="s">
        <v>583</v>
      </c>
    </row>
    <row r="2699" spans="1:10" hidden="1" x14ac:dyDescent="0.25">
      <c r="A2699" t="s">
        <v>132</v>
      </c>
      <c r="B2699" t="s">
        <v>6</v>
      </c>
      <c r="C2699" t="s">
        <v>7</v>
      </c>
      <c r="D2699" t="s">
        <v>10</v>
      </c>
      <c r="E2699" s="2">
        <v>43336.385162037041</v>
      </c>
      <c r="F2699" t="s">
        <v>303</v>
      </c>
      <c r="G2699" t="s">
        <v>432</v>
      </c>
      <c r="H2699" t="s">
        <v>457</v>
      </c>
      <c r="I2699" t="s">
        <v>498</v>
      </c>
      <c r="J2699" t="s">
        <v>498</v>
      </c>
    </row>
    <row r="2700" spans="1:10" hidden="1" x14ac:dyDescent="0.25">
      <c r="A2700" t="s">
        <v>178</v>
      </c>
      <c r="B2700" t="s">
        <v>6</v>
      </c>
      <c r="C2700" t="s">
        <v>7</v>
      </c>
      <c r="D2700" t="s">
        <v>10</v>
      </c>
      <c r="E2700" s="2">
        <v>43336.385300925926</v>
      </c>
      <c r="F2700" t="s">
        <v>585</v>
      </c>
      <c r="G2700" t="s">
        <v>323</v>
      </c>
      <c r="H2700" t="s">
        <v>435</v>
      </c>
      <c r="I2700" t="s">
        <v>494</v>
      </c>
      <c r="J2700" t="s">
        <v>501</v>
      </c>
    </row>
    <row r="2701" spans="1:10" hidden="1" x14ac:dyDescent="0.25">
      <c r="A2701" t="s">
        <v>252</v>
      </c>
      <c r="B2701" t="s">
        <v>6</v>
      </c>
      <c r="C2701" t="s">
        <v>7</v>
      </c>
      <c r="D2701" t="s">
        <v>476</v>
      </c>
      <c r="E2701" s="2">
        <v>43336.385717592595</v>
      </c>
      <c r="F2701" t="s">
        <v>300</v>
      </c>
      <c r="G2701" t="s">
        <v>455</v>
      </c>
      <c r="H2701" t="s">
        <v>440</v>
      </c>
      <c r="I2701" t="s">
        <v>494</v>
      </c>
      <c r="J2701" t="s">
        <v>583</v>
      </c>
    </row>
    <row r="2702" spans="1:10" hidden="1" x14ac:dyDescent="0.25">
      <c r="A2702" t="s">
        <v>131</v>
      </c>
      <c r="B2702" t="s">
        <v>6</v>
      </c>
      <c r="C2702" t="s">
        <v>7</v>
      </c>
      <c r="D2702" t="s">
        <v>10</v>
      </c>
      <c r="E2702" s="2">
        <v>43336.385775462964</v>
      </c>
      <c r="F2702" t="s">
        <v>303</v>
      </c>
      <c r="G2702" t="s">
        <v>432</v>
      </c>
      <c r="H2702" t="s">
        <v>458</v>
      </c>
      <c r="I2702" t="s">
        <v>498</v>
      </c>
      <c r="J2702" t="s">
        <v>498</v>
      </c>
    </row>
    <row r="2703" spans="1:10" hidden="1" x14ac:dyDescent="0.25">
      <c r="A2703" t="s">
        <v>40</v>
      </c>
      <c r="B2703" t="s">
        <v>6</v>
      </c>
      <c r="C2703" t="s">
        <v>7</v>
      </c>
      <c r="D2703" t="s">
        <v>10</v>
      </c>
      <c r="E2703" s="2">
        <v>43336.385914351849</v>
      </c>
      <c r="F2703" t="s">
        <v>585</v>
      </c>
      <c r="G2703" t="s">
        <v>323</v>
      </c>
      <c r="H2703" t="s">
        <v>436</v>
      </c>
      <c r="I2703" t="s">
        <v>494</v>
      </c>
      <c r="J2703" t="s">
        <v>501</v>
      </c>
    </row>
    <row r="2704" spans="1:10" hidden="1" x14ac:dyDescent="0.25">
      <c r="A2704" t="s">
        <v>253</v>
      </c>
      <c r="B2704" t="s">
        <v>6</v>
      </c>
      <c r="C2704" t="s">
        <v>7</v>
      </c>
      <c r="D2704" t="s">
        <v>476</v>
      </c>
      <c r="E2704" s="2">
        <v>43336.386331018519</v>
      </c>
      <c r="F2704" t="s">
        <v>300</v>
      </c>
      <c r="G2704" t="s">
        <v>455</v>
      </c>
      <c r="H2704" t="s">
        <v>441</v>
      </c>
      <c r="I2704" t="s">
        <v>494</v>
      </c>
      <c r="J2704" t="s">
        <v>583</v>
      </c>
    </row>
    <row r="2705" spans="1:10" hidden="1" x14ac:dyDescent="0.25">
      <c r="A2705" t="s">
        <v>223</v>
      </c>
      <c r="B2705" t="s">
        <v>306</v>
      </c>
      <c r="C2705" t="s">
        <v>306</v>
      </c>
      <c r="D2705" t="s">
        <v>307</v>
      </c>
      <c r="E2705" s="2">
        <v>43336.386365740742</v>
      </c>
      <c r="F2705" t="s">
        <v>298</v>
      </c>
      <c r="G2705" t="s">
        <v>457</v>
      </c>
      <c r="H2705" t="s">
        <v>437</v>
      </c>
      <c r="I2705" t="s">
        <v>509</v>
      </c>
      <c r="J2705" t="s">
        <v>510</v>
      </c>
    </row>
    <row r="2706" spans="1:10" hidden="1" x14ac:dyDescent="0.25">
      <c r="A2706" t="s">
        <v>149</v>
      </c>
      <c r="B2706" t="s">
        <v>6</v>
      </c>
      <c r="C2706" t="s">
        <v>7</v>
      </c>
      <c r="D2706" t="s">
        <v>10</v>
      </c>
      <c r="E2706" s="2">
        <v>43336.38652777778</v>
      </c>
      <c r="F2706" t="s">
        <v>585</v>
      </c>
      <c r="G2706" t="s">
        <v>323</v>
      </c>
      <c r="H2706" t="s">
        <v>437</v>
      </c>
      <c r="I2706" t="s">
        <v>494</v>
      </c>
      <c r="J2706" t="s">
        <v>501</v>
      </c>
    </row>
    <row r="2707" spans="1:10" hidden="1" x14ac:dyDescent="0.25">
      <c r="A2707" t="s">
        <v>130</v>
      </c>
      <c r="B2707" t="s">
        <v>6</v>
      </c>
      <c r="C2707" t="s">
        <v>7</v>
      </c>
      <c r="D2707" t="s">
        <v>13</v>
      </c>
      <c r="E2707" s="2">
        <v>43336.38652777778</v>
      </c>
      <c r="F2707" t="s">
        <v>303</v>
      </c>
      <c r="G2707" t="s">
        <v>432</v>
      </c>
      <c r="H2707" t="s">
        <v>459</v>
      </c>
      <c r="I2707" t="s">
        <v>494</v>
      </c>
      <c r="J2707" t="s">
        <v>544</v>
      </c>
    </row>
    <row r="2708" spans="1:10" hidden="1" x14ac:dyDescent="0.25">
      <c r="A2708" t="s">
        <v>254</v>
      </c>
      <c r="B2708" t="s">
        <v>6</v>
      </c>
      <c r="C2708" t="s">
        <v>7</v>
      </c>
      <c r="D2708" t="s">
        <v>10</v>
      </c>
      <c r="E2708" s="2">
        <v>43336.386956018519</v>
      </c>
      <c r="F2708" t="s">
        <v>300</v>
      </c>
      <c r="G2708" t="s">
        <v>455</v>
      </c>
      <c r="H2708" t="s">
        <v>442</v>
      </c>
      <c r="I2708" t="s">
        <v>494</v>
      </c>
      <c r="J2708" t="s">
        <v>583</v>
      </c>
    </row>
    <row r="2709" spans="1:10" hidden="1" x14ac:dyDescent="0.25">
      <c r="A2709" t="s">
        <v>184</v>
      </c>
      <c r="B2709" t="s">
        <v>6</v>
      </c>
      <c r="C2709" t="s">
        <v>7</v>
      </c>
      <c r="D2709" t="s">
        <v>476</v>
      </c>
      <c r="E2709" s="2">
        <v>43336.387152777781</v>
      </c>
      <c r="F2709" t="s">
        <v>303</v>
      </c>
      <c r="G2709" t="s">
        <v>432</v>
      </c>
      <c r="H2709" t="s">
        <v>460</v>
      </c>
      <c r="I2709" t="s">
        <v>494</v>
      </c>
      <c r="J2709" t="s">
        <v>544</v>
      </c>
    </row>
    <row r="2710" spans="1:10" hidden="1" x14ac:dyDescent="0.25">
      <c r="A2710" t="s">
        <v>176</v>
      </c>
      <c r="B2710" t="s">
        <v>6</v>
      </c>
      <c r="C2710" t="s">
        <v>7</v>
      </c>
      <c r="D2710" t="s">
        <v>10</v>
      </c>
      <c r="E2710" s="2">
        <v>43336.387152777781</v>
      </c>
      <c r="F2710" t="s">
        <v>585</v>
      </c>
      <c r="G2710" t="s">
        <v>323</v>
      </c>
      <c r="H2710" t="s">
        <v>438</v>
      </c>
      <c r="I2710" t="s">
        <v>494</v>
      </c>
      <c r="J2710" t="s">
        <v>495</v>
      </c>
    </row>
    <row r="2711" spans="1:10" hidden="1" x14ac:dyDescent="0.25">
      <c r="A2711" t="s">
        <v>255</v>
      </c>
      <c r="B2711" t="s">
        <v>6</v>
      </c>
      <c r="C2711" t="s">
        <v>7</v>
      </c>
      <c r="D2711" t="s">
        <v>476</v>
      </c>
      <c r="E2711" s="2">
        <v>43336.38758101852</v>
      </c>
      <c r="F2711" t="s">
        <v>300</v>
      </c>
      <c r="G2711" t="s">
        <v>455</v>
      </c>
      <c r="H2711" t="s">
        <v>443</v>
      </c>
      <c r="I2711" t="s">
        <v>494</v>
      </c>
      <c r="J2711" t="s">
        <v>583</v>
      </c>
    </row>
    <row r="2712" spans="1:10" hidden="1" x14ac:dyDescent="0.25">
      <c r="A2712" t="s">
        <v>39</v>
      </c>
      <c r="B2712" t="s">
        <v>6</v>
      </c>
      <c r="C2712" t="s">
        <v>7</v>
      </c>
      <c r="D2712" t="s">
        <v>10</v>
      </c>
      <c r="E2712" s="2">
        <v>43336.387777777774</v>
      </c>
      <c r="F2712" t="s">
        <v>585</v>
      </c>
      <c r="G2712" t="s">
        <v>323</v>
      </c>
      <c r="H2712" t="s">
        <v>439</v>
      </c>
      <c r="I2712" t="s">
        <v>494</v>
      </c>
      <c r="J2712" t="s">
        <v>495</v>
      </c>
    </row>
    <row r="2713" spans="1:10" hidden="1" x14ac:dyDescent="0.25">
      <c r="A2713" t="s">
        <v>243</v>
      </c>
      <c r="B2713" t="s">
        <v>6</v>
      </c>
      <c r="C2713" t="s">
        <v>7</v>
      </c>
      <c r="D2713" t="s">
        <v>13</v>
      </c>
      <c r="E2713" s="2">
        <v>43336.387881944444</v>
      </c>
      <c r="F2713" t="s">
        <v>303</v>
      </c>
      <c r="G2713" t="s">
        <v>432</v>
      </c>
      <c r="H2713" t="s">
        <v>461</v>
      </c>
      <c r="I2713" t="s">
        <v>494</v>
      </c>
      <c r="J2713" t="s">
        <v>544</v>
      </c>
    </row>
    <row r="2714" spans="1:10" hidden="1" x14ac:dyDescent="0.25">
      <c r="A2714" t="s">
        <v>244</v>
      </c>
      <c r="B2714" t="s">
        <v>6</v>
      </c>
      <c r="C2714" t="s">
        <v>7</v>
      </c>
      <c r="D2714" t="s">
        <v>10</v>
      </c>
      <c r="E2714" s="2">
        <v>43336.388182870367</v>
      </c>
      <c r="F2714" t="s">
        <v>300</v>
      </c>
      <c r="G2714" t="s">
        <v>455</v>
      </c>
      <c r="H2714" t="s">
        <v>444</v>
      </c>
      <c r="I2714" t="s">
        <v>494</v>
      </c>
      <c r="J2714" t="s">
        <v>583</v>
      </c>
    </row>
    <row r="2715" spans="1:10" hidden="1" x14ac:dyDescent="0.25">
      <c r="A2715" t="s">
        <v>144</v>
      </c>
      <c r="B2715" t="s">
        <v>6</v>
      </c>
      <c r="C2715" t="s">
        <v>7</v>
      </c>
      <c r="D2715" t="s">
        <v>10</v>
      </c>
      <c r="E2715" s="2">
        <v>43336.388391203705</v>
      </c>
      <c r="F2715" t="s">
        <v>585</v>
      </c>
      <c r="G2715" t="s">
        <v>323</v>
      </c>
      <c r="H2715" t="s">
        <v>440</v>
      </c>
      <c r="I2715" t="s">
        <v>494</v>
      </c>
      <c r="J2715" t="s">
        <v>495</v>
      </c>
    </row>
    <row r="2716" spans="1:10" hidden="1" x14ac:dyDescent="0.25">
      <c r="A2716" t="s">
        <v>129</v>
      </c>
      <c r="B2716" t="s">
        <v>6</v>
      </c>
      <c r="C2716" t="s">
        <v>7</v>
      </c>
      <c r="D2716" t="s">
        <v>476</v>
      </c>
      <c r="E2716" s="2">
        <v>43336.388518518521</v>
      </c>
      <c r="F2716" t="s">
        <v>303</v>
      </c>
      <c r="G2716" t="s">
        <v>432</v>
      </c>
      <c r="H2716" t="s">
        <v>462</v>
      </c>
      <c r="I2716" t="s">
        <v>494</v>
      </c>
      <c r="J2716" t="s">
        <v>544</v>
      </c>
    </row>
    <row r="2717" spans="1:10" hidden="1" x14ac:dyDescent="0.25">
      <c r="A2717" t="s">
        <v>256</v>
      </c>
      <c r="B2717" t="s">
        <v>6</v>
      </c>
      <c r="C2717" t="s">
        <v>7</v>
      </c>
      <c r="D2717" t="s">
        <v>10</v>
      </c>
      <c r="E2717" s="2">
        <v>43336.388819444444</v>
      </c>
      <c r="F2717" t="s">
        <v>300</v>
      </c>
      <c r="G2717" t="s">
        <v>455</v>
      </c>
      <c r="H2717" t="s">
        <v>445</v>
      </c>
      <c r="I2717" t="s">
        <v>494</v>
      </c>
      <c r="J2717" t="s">
        <v>583</v>
      </c>
    </row>
    <row r="2718" spans="1:10" hidden="1" x14ac:dyDescent="0.25">
      <c r="A2718" t="s">
        <v>38</v>
      </c>
      <c r="B2718" t="s">
        <v>6</v>
      </c>
      <c r="C2718" t="s">
        <v>7</v>
      </c>
      <c r="D2718" t="s">
        <v>10</v>
      </c>
      <c r="E2718" s="2">
        <v>43336.389016203706</v>
      </c>
      <c r="F2718" t="s">
        <v>585</v>
      </c>
      <c r="G2718" t="s">
        <v>323</v>
      </c>
      <c r="H2718" t="s">
        <v>441</v>
      </c>
      <c r="I2718" t="s">
        <v>494</v>
      </c>
      <c r="J2718" t="s">
        <v>495</v>
      </c>
    </row>
    <row r="2719" spans="1:10" hidden="1" x14ac:dyDescent="0.25">
      <c r="A2719" t="s">
        <v>136</v>
      </c>
      <c r="B2719" t="s">
        <v>6</v>
      </c>
      <c r="C2719" t="s">
        <v>7</v>
      </c>
      <c r="D2719" t="s">
        <v>13</v>
      </c>
      <c r="E2719" s="2">
        <v>43336.389270833337</v>
      </c>
      <c r="F2719" t="s">
        <v>303</v>
      </c>
      <c r="G2719" t="s">
        <v>432</v>
      </c>
      <c r="H2719" t="s">
        <v>453</v>
      </c>
      <c r="I2719" t="s">
        <v>494</v>
      </c>
      <c r="J2719" t="s">
        <v>544</v>
      </c>
    </row>
    <row r="2720" spans="1:10" hidden="1" x14ac:dyDescent="0.25">
      <c r="A2720" t="s">
        <v>257</v>
      </c>
      <c r="B2720" t="s">
        <v>6</v>
      </c>
      <c r="C2720" t="s">
        <v>7</v>
      </c>
      <c r="D2720" t="s">
        <v>10</v>
      </c>
      <c r="E2720" s="2">
        <v>43336.389444444445</v>
      </c>
      <c r="F2720" t="s">
        <v>300</v>
      </c>
      <c r="G2720" t="s">
        <v>455</v>
      </c>
      <c r="H2720" t="s">
        <v>446</v>
      </c>
      <c r="I2720" t="s">
        <v>584</v>
      </c>
      <c r="J2720" t="s">
        <v>584</v>
      </c>
    </row>
    <row r="2721" spans="1:10" hidden="1" x14ac:dyDescent="0.25">
      <c r="A2721" t="s">
        <v>37</v>
      </c>
      <c r="B2721" t="s">
        <v>6</v>
      </c>
      <c r="C2721" t="s">
        <v>7</v>
      </c>
      <c r="D2721" t="s">
        <v>10</v>
      </c>
      <c r="E2721" s="2">
        <v>43336.389641203707</v>
      </c>
      <c r="F2721" t="s">
        <v>585</v>
      </c>
      <c r="G2721" t="s">
        <v>323</v>
      </c>
      <c r="H2721" t="s">
        <v>442</v>
      </c>
      <c r="I2721" t="s">
        <v>494</v>
      </c>
      <c r="J2721" t="s">
        <v>495</v>
      </c>
    </row>
    <row r="2722" spans="1:10" hidden="1" x14ac:dyDescent="0.25">
      <c r="A2722" t="s">
        <v>280</v>
      </c>
      <c r="B2722" t="s">
        <v>6</v>
      </c>
      <c r="C2722" t="s">
        <v>7</v>
      </c>
      <c r="D2722" t="s">
        <v>13</v>
      </c>
      <c r="E2722" s="2">
        <v>43336.390023148146</v>
      </c>
      <c r="F2722" t="s">
        <v>303</v>
      </c>
      <c r="G2722" t="s">
        <v>432</v>
      </c>
      <c r="H2722" t="s">
        <v>454</v>
      </c>
      <c r="I2722" t="s">
        <v>494</v>
      </c>
      <c r="J2722" t="s">
        <v>544</v>
      </c>
    </row>
    <row r="2723" spans="1:10" hidden="1" x14ac:dyDescent="0.25">
      <c r="A2723" t="s">
        <v>263</v>
      </c>
      <c r="B2723" t="s">
        <v>6</v>
      </c>
      <c r="C2723" t="s">
        <v>7</v>
      </c>
      <c r="D2723" t="s">
        <v>10</v>
      </c>
      <c r="E2723" s="2">
        <v>43336.390057870369</v>
      </c>
      <c r="F2723" t="s">
        <v>300</v>
      </c>
      <c r="G2723" t="s">
        <v>455</v>
      </c>
      <c r="H2723" t="s">
        <v>447</v>
      </c>
      <c r="I2723" t="s">
        <v>584</v>
      </c>
      <c r="J2723" t="s">
        <v>584</v>
      </c>
    </row>
    <row r="2724" spans="1:10" hidden="1" x14ac:dyDescent="0.25">
      <c r="A2724" t="s">
        <v>216</v>
      </c>
      <c r="B2724" t="s">
        <v>6</v>
      </c>
      <c r="C2724" t="s">
        <v>7</v>
      </c>
      <c r="D2724" t="s">
        <v>10</v>
      </c>
      <c r="E2724" s="2">
        <v>43336.390266203707</v>
      </c>
      <c r="F2724" t="s">
        <v>585</v>
      </c>
      <c r="G2724" t="s">
        <v>323</v>
      </c>
      <c r="H2724" t="s">
        <v>443</v>
      </c>
      <c r="I2724" t="s">
        <v>494</v>
      </c>
      <c r="J2724" t="s">
        <v>495</v>
      </c>
    </row>
    <row r="2725" spans="1:10" hidden="1" x14ac:dyDescent="0.25">
      <c r="A2725" t="s">
        <v>167</v>
      </c>
      <c r="B2725" t="s">
        <v>306</v>
      </c>
      <c r="C2725" t="s">
        <v>306</v>
      </c>
      <c r="D2725" t="s">
        <v>307</v>
      </c>
      <c r="E2725" s="2">
        <v>43336.3905787037</v>
      </c>
      <c r="F2725" t="s">
        <v>298</v>
      </c>
      <c r="G2725" t="s">
        <v>457</v>
      </c>
      <c r="H2725" t="s">
        <v>438</v>
      </c>
      <c r="I2725" t="s">
        <v>492</v>
      </c>
      <c r="J2725" t="s">
        <v>493</v>
      </c>
    </row>
    <row r="2726" spans="1:10" hidden="1" x14ac:dyDescent="0.25">
      <c r="A2726" t="s">
        <v>264</v>
      </c>
      <c r="B2726" t="s">
        <v>6</v>
      </c>
      <c r="C2726" t="s">
        <v>7</v>
      </c>
      <c r="D2726" t="s">
        <v>10</v>
      </c>
      <c r="E2726" s="2">
        <v>43336.390682870369</v>
      </c>
      <c r="F2726" t="s">
        <v>300</v>
      </c>
      <c r="G2726" t="s">
        <v>455</v>
      </c>
      <c r="H2726" t="s">
        <v>448</v>
      </c>
      <c r="I2726" t="s">
        <v>584</v>
      </c>
      <c r="J2726" t="s">
        <v>584</v>
      </c>
    </row>
    <row r="2727" spans="1:10" hidden="1" x14ac:dyDescent="0.25">
      <c r="A2727" t="s">
        <v>128</v>
      </c>
      <c r="B2727" t="s">
        <v>6</v>
      </c>
      <c r="C2727" t="s">
        <v>7</v>
      </c>
      <c r="D2727" t="s">
        <v>13</v>
      </c>
      <c r="E2727" s="2">
        <v>43336.390787037039</v>
      </c>
      <c r="F2727" t="s">
        <v>303</v>
      </c>
      <c r="G2727" t="s">
        <v>432</v>
      </c>
      <c r="H2727" t="s">
        <v>455</v>
      </c>
      <c r="I2727" t="s">
        <v>494</v>
      </c>
      <c r="J2727" t="s">
        <v>544</v>
      </c>
    </row>
    <row r="2728" spans="1:10" hidden="1" x14ac:dyDescent="0.25">
      <c r="A2728" t="s">
        <v>36</v>
      </c>
      <c r="B2728" t="s">
        <v>6</v>
      </c>
      <c r="C2728" t="s">
        <v>7</v>
      </c>
      <c r="D2728" t="s">
        <v>10</v>
      </c>
      <c r="E2728" s="2">
        <v>43336.390879629631</v>
      </c>
      <c r="F2728" t="s">
        <v>585</v>
      </c>
      <c r="G2728" t="s">
        <v>323</v>
      </c>
      <c r="H2728" t="s">
        <v>444</v>
      </c>
      <c r="I2728" t="s">
        <v>494</v>
      </c>
      <c r="J2728" t="s">
        <v>495</v>
      </c>
    </row>
    <row r="2729" spans="1:10" hidden="1" x14ac:dyDescent="0.25">
      <c r="A2729" t="s">
        <v>265</v>
      </c>
      <c r="B2729" t="s">
        <v>6</v>
      </c>
      <c r="C2729" t="s">
        <v>7</v>
      </c>
      <c r="D2729" t="s">
        <v>10</v>
      </c>
      <c r="E2729" s="2">
        <v>43336.391296296293</v>
      </c>
      <c r="F2729" t="s">
        <v>300</v>
      </c>
      <c r="G2729" t="s">
        <v>455</v>
      </c>
      <c r="H2729" t="s">
        <v>449</v>
      </c>
      <c r="I2729" t="s">
        <v>584</v>
      </c>
      <c r="J2729" t="s">
        <v>584</v>
      </c>
    </row>
    <row r="2730" spans="1:10" hidden="1" x14ac:dyDescent="0.25">
      <c r="A2730" t="s">
        <v>195</v>
      </c>
      <c r="B2730" t="s">
        <v>6</v>
      </c>
      <c r="C2730" t="s">
        <v>7</v>
      </c>
      <c r="D2730" t="s">
        <v>10</v>
      </c>
      <c r="E2730" s="2">
        <v>43336.391516203701</v>
      </c>
      <c r="F2730" t="s">
        <v>585</v>
      </c>
      <c r="G2730" t="s">
        <v>323</v>
      </c>
      <c r="H2730" t="s">
        <v>445</v>
      </c>
      <c r="I2730" t="s">
        <v>494</v>
      </c>
      <c r="J2730" t="s">
        <v>495</v>
      </c>
    </row>
    <row r="2731" spans="1:10" hidden="1" x14ac:dyDescent="0.25">
      <c r="A2731" t="s">
        <v>126</v>
      </c>
      <c r="B2731" t="s">
        <v>6</v>
      </c>
      <c r="C2731" t="s">
        <v>7</v>
      </c>
      <c r="D2731" t="s">
        <v>13</v>
      </c>
      <c r="E2731" s="2">
        <v>43336.391539351855</v>
      </c>
      <c r="F2731" t="s">
        <v>303</v>
      </c>
      <c r="G2731" t="s">
        <v>432</v>
      </c>
      <c r="H2731" t="s">
        <v>456</v>
      </c>
      <c r="I2731" t="s">
        <v>494</v>
      </c>
      <c r="J2731" t="s">
        <v>544</v>
      </c>
    </row>
    <row r="2732" spans="1:10" hidden="1" x14ac:dyDescent="0.25">
      <c r="A2732" t="s">
        <v>266</v>
      </c>
      <c r="B2732" t="s">
        <v>6</v>
      </c>
      <c r="C2732" t="s">
        <v>7</v>
      </c>
      <c r="D2732" t="s">
        <v>10</v>
      </c>
      <c r="E2732" s="2">
        <v>43336.391921296294</v>
      </c>
      <c r="F2732" t="s">
        <v>300</v>
      </c>
      <c r="G2732" t="s">
        <v>455</v>
      </c>
      <c r="H2732" t="s">
        <v>450</v>
      </c>
      <c r="I2732" t="s">
        <v>584</v>
      </c>
      <c r="J2732" t="s">
        <v>584</v>
      </c>
    </row>
    <row r="2733" spans="1:10" hidden="1" x14ac:dyDescent="0.25">
      <c r="A2733" t="s">
        <v>35</v>
      </c>
      <c r="B2733" t="s">
        <v>6</v>
      </c>
      <c r="C2733" t="s">
        <v>7</v>
      </c>
      <c r="D2733" t="s">
        <v>10</v>
      </c>
      <c r="E2733" s="2">
        <v>43336.392106481479</v>
      </c>
      <c r="F2733" t="s">
        <v>585</v>
      </c>
      <c r="G2733" t="s">
        <v>323</v>
      </c>
      <c r="H2733" t="s">
        <v>446</v>
      </c>
      <c r="I2733" t="s">
        <v>494</v>
      </c>
      <c r="J2733" t="s">
        <v>495</v>
      </c>
    </row>
    <row r="2734" spans="1:10" hidden="1" x14ac:dyDescent="0.25">
      <c r="A2734" t="s">
        <v>125</v>
      </c>
      <c r="B2734" t="s">
        <v>6</v>
      </c>
      <c r="C2734" t="s">
        <v>7</v>
      </c>
      <c r="D2734" t="s">
        <v>476</v>
      </c>
      <c r="E2734" s="2">
        <v>43336.392210648148</v>
      </c>
      <c r="F2734" t="s">
        <v>303</v>
      </c>
      <c r="G2734" t="s">
        <v>432</v>
      </c>
      <c r="H2734" t="s">
        <v>426</v>
      </c>
      <c r="I2734" t="s">
        <v>494</v>
      </c>
      <c r="J2734" t="s">
        <v>544</v>
      </c>
    </row>
    <row r="2735" spans="1:10" hidden="1" x14ac:dyDescent="0.25">
      <c r="A2735" t="s">
        <v>242</v>
      </c>
      <c r="B2735" t="s">
        <v>6</v>
      </c>
      <c r="C2735" t="s">
        <v>7</v>
      </c>
      <c r="D2735" t="s">
        <v>10</v>
      </c>
      <c r="E2735" s="2">
        <v>43336.392546296294</v>
      </c>
      <c r="F2735" t="s">
        <v>300</v>
      </c>
      <c r="G2735" t="s">
        <v>455</v>
      </c>
      <c r="H2735" t="s">
        <v>451</v>
      </c>
      <c r="I2735" t="s">
        <v>498</v>
      </c>
      <c r="J2735" t="s">
        <v>498</v>
      </c>
    </row>
    <row r="2736" spans="1:10" hidden="1" x14ac:dyDescent="0.25">
      <c r="A2736" t="s">
        <v>34</v>
      </c>
      <c r="B2736" t="s">
        <v>6</v>
      </c>
      <c r="C2736" t="s">
        <v>7</v>
      </c>
      <c r="D2736" t="s">
        <v>10</v>
      </c>
      <c r="E2736" s="2">
        <v>43336.392731481479</v>
      </c>
      <c r="F2736" t="s">
        <v>585</v>
      </c>
      <c r="G2736" t="s">
        <v>323</v>
      </c>
      <c r="H2736" t="s">
        <v>447</v>
      </c>
      <c r="I2736" t="s">
        <v>494</v>
      </c>
      <c r="J2736" t="s">
        <v>495</v>
      </c>
    </row>
    <row r="2737" spans="1:10" hidden="1" x14ac:dyDescent="0.25">
      <c r="A2737" t="s">
        <v>217</v>
      </c>
      <c r="B2737" t="s">
        <v>6</v>
      </c>
      <c r="C2737" t="s">
        <v>7</v>
      </c>
      <c r="D2737" t="s">
        <v>476</v>
      </c>
      <c r="E2737" s="2">
        <v>43336.392835648148</v>
      </c>
      <c r="F2737" t="s">
        <v>303</v>
      </c>
      <c r="G2737" t="s">
        <v>432</v>
      </c>
      <c r="H2737" t="s">
        <v>427</v>
      </c>
      <c r="I2737" t="s">
        <v>494</v>
      </c>
      <c r="J2737" t="s">
        <v>544</v>
      </c>
    </row>
    <row r="2738" spans="1:10" hidden="1" x14ac:dyDescent="0.25">
      <c r="A2738" t="s">
        <v>267</v>
      </c>
      <c r="B2738" t="s">
        <v>6</v>
      </c>
      <c r="C2738" t="s">
        <v>7</v>
      </c>
      <c r="D2738" t="s">
        <v>10</v>
      </c>
      <c r="E2738" s="2">
        <v>43336.393159722225</v>
      </c>
      <c r="F2738" t="s">
        <v>300</v>
      </c>
      <c r="G2738" t="s">
        <v>455</v>
      </c>
      <c r="H2738" t="s">
        <v>452</v>
      </c>
      <c r="I2738" t="s">
        <v>498</v>
      </c>
      <c r="J2738" t="s">
        <v>498</v>
      </c>
    </row>
    <row r="2739" spans="1:10" hidden="1" x14ac:dyDescent="0.25">
      <c r="A2739" t="s">
        <v>33</v>
      </c>
      <c r="B2739" t="s">
        <v>6</v>
      </c>
      <c r="C2739" t="s">
        <v>7</v>
      </c>
      <c r="D2739" t="s">
        <v>10</v>
      </c>
      <c r="E2739" s="2">
        <v>43336.39334490741</v>
      </c>
      <c r="F2739" t="s">
        <v>585</v>
      </c>
      <c r="G2739" t="s">
        <v>323</v>
      </c>
      <c r="H2739" t="s">
        <v>448</v>
      </c>
      <c r="I2739" t="s">
        <v>494</v>
      </c>
      <c r="J2739" t="s">
        <v>495</v>
      </c>
    </row>
    <row r="2740" spans="1:10" hidden="1" x14ac:dyDescent="0.25">
      <c r="A2740" t="s">
        <v>165</v>
      </c>
      <c r="B2740" t="s">
        <v>306</v>
      </c>
      <c r="C2740" t="s">
        <v>306</v>
      </c>
      <c r="D2740" t="s">
        <v>307</v>
      </c>
      <c r="E2740" s="2">
        <v>43336.393368055556</v>
      </c>
      <c r="F2740" t="s">
        <v>298</v>
      </c>
      <c r="G2740" t="s">
        <v>457</v>
      </c>
      <c r="H2740" t="s">
        <v>439</v>
      </c>
      <c r="I2740" t="s">
        <v>492</v>
      </c>
      <c r="J2740" t="s">
        <v>493</v>
      </c>
    </row>
    <row r="2741" spans="1:10" hidden="1" x14ac:dyDescent="0.25">
      <c r="A2741" t="s">
        <v>284</v>
      </c>
      <c r="B2741" t="s">
        <v>6</v>
      </c>
      <c r="C2741" t="s">
        <v>7</v>
      </c>
      <c r="D2741" t="s">
        <v>13</v>
      </c>
      <c r="E2741" s="2">
        <v>43336.393599537034</v>
      </c>
      <c r="F2741" t="s">
        <v>303</v>
      </c>
      <c r="G2741" t="s">
        <v>432</v>
      </c>
      <c r="H2741" t="s">
        <v>428</v>
      </c>
      <c r="I2741" t="s">
        <v>494</v>
      </c>
      <c r="J2741" t="s">
        <v>544</v>
      </c>
    </row>
    <row r="2742" spans="1:10" hidden="1" x14ac:dyDescent="0.25">
      <c r="A2742" t="s">
        <v>55</v>
      </c>
      <c r="B2742" t="s">
        <v>6</v>
      </c>
      <c r="C2742" t="s">
        <v>7</v>
      </c>
      <c r="D2742" t="s">
        <v>10</v>
      </c>
      <c r="E2742" s="2">
        <v>43336.393819444442</v>
      </c>
      <c r="F2742" t="s">
        <v>300</v>
      </c>
      <c r="G2742" t="s">
        <v>455</v>
      </c>
      <c r="H2742" t="s">
        <v>318</v>
      </c>
      <c r="I2742" t="s">
        <v>558</v>
      </c>
      <c r="J2742" t="s">
        <v>562</v>
      </c>
    </row>
    <row r="2743" spans="1:10" hidden="1" x14ac:dyDescent="0.25">
      <c r="A2743" t="s">
        <v>32</v>
      </c>
      <c r="B2743" t="s">
        <v>6</v>
      </c>
      <c r="C2743" t="s">
        <v>7</v>
      </c>
      <c r="D2743" t="s">
        <v>10</v>
      </c>
      <c r="E2743" s="2">
        <v>43336.393958333334</v>
      </c>
      <c r="F2743" t="s">
        <v>585</v>
      </c>
      <c r="G2743" t="s">
        <v>323</v>
      </c>
      <c r="H2743" t="s">
        <v>449</v>
      </c>
      <c r="I2743" t="s">
        <v>494</v>
      </c>
      <c r="J2743" t="s">
        <v>495</v>
      </c>
    </row>
    <row r="2744" spans="1:10" hidden="1" x14ac:dyDescent="0.25">
      <c r="A2744" t="s">
        <v>215</v>
      </c>
      <c r="B2744" t="s">
        <v>6</v>
      </c>
      <c r="C2744" t="s">
        <v>7</v>
      </c>
      <c r="D2744" t="s">
        <v>10</v>
      </c>
      <c r="E2744" s="2">
        <v>43336.394212962965</v>
      </c>
      <c r="F2744" t="s">
        <v>303</v>
      </c>
      <c r="G2744" t="s">
        <v>432</v>
      </c>
      <c r="H2744" t="s">
        <v>429</v>
      </c>
      <c r="I2744" t="s">
        <v>494</v>
      </c>
      <c r="J2744" t="s">
        <v>501</v>
      </c>
    </row>
    <row r="2745" spans="1:10" hidden="1" x14ac:dyDescent="0.25">
      <c r="A2745" t="s">
        <v>107</v>
      </c>
      <c r="B2745" t="s">
        <v>6</v>
      </c>
      <c r="C2745" t="s">
        <v>7</v>
      </c>
      <c r="D2745" t="s">
        <v>10</v>
      </c>
      <c r="E2745" s="2">
        <v>43336.394432870373</v>
      </c>
      <c r="F2745" t="s">
        <v>300</v>
      </c>
      <c r="G2745" t="s">
        <v>455</v>
      </c>
      <c r="H2745" t="s">
        <v>323</v>
      </c>
      <c r="I2745" t="s">
        <v>494</v>
      </c>
      <c r="J2745" t="s">
        <v>13</v>
      </c>
    </row>
    <row r="2746" spans="1:10" hidden="1" x14ac:dyDescent="0.25">
      <c r="A2746" t="s">
        <v>296</v>
      </c>
      <c r="B2746" t="s">
        <v>6</v>
      </c>
      <c r="C2746" t="s">
        <v>7</v>
      </c>
      <c r="D2746" t="s">
        <v>10</v>
      </c>
      <c r="E2746" s="2">
        <v>43336.394594907404</v>
      </c>
      <c r="F2746" t="s">
        <v>585</v>
      </c>
      <c r="G2746" t="s">
        <v>323</v>
      </c>
      <c r="H2746" t="s">
        <v>450</v>
      </c>
      <c r="I2746" t="s">
        <v>494</v>
      </c>
      <c r="J2746" t="s">
        <v>495</v>
      </c>
    </row>
    <row r="2747" spans="1:10" hidden="1" x14ac:dyDescent="0.25">
      <c r="A2747" t="s">
        <v>285</v>
      </c>
      <c r="B2747" t="s">
        <v>6</v>
      </c>
      <c r="C2747" t="s">
        <v>7</v>
      </c>
      <c r="D2747" t="s">
        <v>10</v>
      </c>
      <c r="E2747" s="2">
        <v>43336.394849537035</v>
      </c>
      <c r="F2747" t="s">
        <v>303</v>
      </c>
      <c r="G2747" t="s">
        <v>432</v>
      </c>
      <c r="H2747" t="s">
        <v>430</v>
      </c>
      <c r="I2747" t="s">
        <v>494</v>
      </c>
      <c r="J2747" t="s">
        <v>501</v>
      </c>
    </row>
    <row r="2748" spans="1:10" hidden="1" x14ac:dyDescent="0.25">
      <c r="A2748" t="s">
        <v>93</v>
      </c>
      <c r="B2748" t="s">
        <v>6</v>
      </c>
      <c r="C2748" t="s">
        <v>7</v>
      </c>
      <c r="D2748" t="s">
        <v>10</v>
      </c>
      <c r="E2748" s="2">
        <v>43336.395057870373</v>
      </c>
      <c r="F2748" t="s">
        <v>300</v>
      </c>
      <c r="G2748" t="s">
        <v>455</v>
      </c>
      <c r="H2748" t="s">
        <v>385</v>
      </c>
      <c r="I2748" t="s">
        <v>552</v>
      </c>
      <c r="J2748" t="s">
        <v>565</v>
      </c>
    </row>
    <row r="2749" spans="1:10" hidden="1" x14ac:dyDescent="0.25">
      <c r="A2749" t="s">
        <v>31</v>
      </c>
      <c r="B2749" t="s">
        <v>6</v>
      </c>
      <c r="C2749" t="s">
        <v>7</v>
      </c>
      <c r="D2749" t="s">
        <v>10</v>
      </c>
      <c r="E2749" s="2">
        <v>43336.395208333335</v>
      </c>
      <c r="F2749" t="s">
        <v>585</v>
      </c>
      <c r="G2749" t="s">
        <v>323</v>
      </c>
      <c r="H2749" t="s">
        <v>451</v>
      </c>
      <c r="I2749" t="s">
        <v>494</v>
      </c>
      <c r="J2749" t="s">
        <v>495</v>
      </c>
    </row>
    <row r="2750" spans="1:10" hidden="1" x14ac:dyDescent="0.25">
      <c r="A2750" t="s">
        <v>214</v>
      </c>
      <c r="B2750" t="s">
        <v>6</v>
      </c>
      <c r="C2750" t="s">
        <v>7</v>
      </c>
      <c r="D2750" t="s">
        <v>10</v>
      </c>
      <c r="E2750" s="2">
        <v>43336.395474537036</v>
      </c>
      <c r="F2750" t="s">
        <v>303</v>
      </c>
      <c r="G2750" t="s">
        <v>432</v>
      </c>
      <c r="H2750" t="s">
        <v>431</v>
      </c>
      <c r="I2750" t="s">
        <v>494</v>
      </c>
      <c r="J2750" t="s">
        <v>501</v>
      </c>
    </row>
    <row r="2751" spans="1:10" hidden="1" x14ac:dyDescent="0.25">
      <c r="A2751" t="s">
        <v>68</v>
      </c>
      <c r="B2751" t="s">
        <v>6</v>
      </c>
      <c r="C2751" t="s">
        <v>7</v>
      </c>
      <c r="D2751" t="s">
        <v>10</v>
      </c>
      <c r="E2751" s="2">
        <v>43336.395671296297</v>
      </c>
      <c r="F2751" t="s">
        <v>300</v>
      </c>
      <c r="G2751" t="s">
        <v>455</v>
      </c>
      <c r="H2751" t="s">
        <v>457</v>
      </c>
      <c r="I2751" t="s">
        <v>552</v>
      </c>
      <c r="J2751" t="s">
        <v>568</v>
      </c>
    </row>
    <row r="2752" spans="1:10" hidden="1" x14ac:dyDescent="0.25">
      <c r="A2752" t="s">
        <v>30</v>
      </c>
      <c r="B2752" t="s">
        <v>6</v>
      </c>
      <c r="C2752" t="s">
        <v>7</v>
      </c>
      <c r="D2752" t="s">
        <v>10</v>
      </c>
      <c r="E2752" s="2">
        <v>43336.395833333336</v>
      </c>
      <c r="F2752" t="s">
        <v>585</v>
      </c>
      <c r="G2752" t="s">
        <v>323</v>
      </c>
      <c r="H2752" t="s">
        <v>452</v>
      </c>
      <c r="I2752" t="s">
        <v>494</v>
      </c>
      <c r="J2752" t="s">
        <v>495</v>
      </c>
    </row>
    <row r="2753" spans="1:10" hidden="1" x14ac:dyDescent="0.25">
      <c r="A2753" t="s">
        <v>213</v>
      </c>
      <c r="B2753" t="s">
        <v>6</v>
      </c>
      <c r="C2753" t="s">
        <v>7</v>
      </c>
      <c r="D2753" t="s">
        <v>10</v>
      </c>
      <c r="E2753" s="2">
        <v>43336.396099537036</v>
      </c>
      <c r="F2753" t="s">
        <v>303</v>
      </c>
      <c r="G2753" t="s">
        <v>432</v>
      </c>
      <c r="H2753" t="s">
        <v>432</v>
      </c>
      <c r="I2753" t="s">
        <v>494</v>
      </c>
      <c r="J2753" t="s">
        <v>501</v>
      </c>
    </row>
    <row r="2754" spans="1:10" hidden="1" x14ac:dyDescent="0.25">
      <c r="A2754" t="s">
        <v>227</v>
      </c>
      <c r="B2754" t="s">
        <v>306</v>
      </c>
      <c r="C2754" t="s">
        <v>306</v>
      </c>
      <c r="D2754" t="s">
        <v>307</v>
      </c>
      <c r="E2754" s="2">
        <v>43336.396157407406</v>
      </c>
      <c r="F2754" t="s">
        <v>298</v>
      </c>
      <c r="G2754" t="s">
        <v>457</v>
      </c>
      <c r="H2754" t="s">
        <v>440</v>
      </c>
      <c r="I2754" t="s">
        <v>492</v>
      </c>
      <c r="J2754" t="s">
        <v>493</v>
      </c>
    </row>
    <row r="2755" spans="1:10" hidden="1" x14ac:dyDescent="0.25">
      <c r="A2755" t="s">
        <v>95</v>
      </c>
      <c r="B2755" t="s">
        <v>6</v>
      </c>
      <c r="C2755" t="s">
        <v>7</v>
      </c>
      <c r="D2755" t="s">
        <v>10</v>
      </c>
      <c r="E2755" s="2">
        <v>43336.396296296298</v>
      </c>
      <c r="F2755" t="s">
        <v>300</v>
      </c>
      <c r="G2755" t="s">
        <v>455</v>
      </c>
      <c r="H2755" t="s">
        <v>458</v>
      </c>
      <c r="I2755" t="s">
        <v>552</v>
      </c>
      <c r="J2755" t="s">
        <v>568</v>
      </c>
    </row>
    <row r="2756" spans="1:10" hidden="1" x14ac:dyDescent="0.25">
      <c r="A2756" t="s">
        <v>172</v>
      </c>
      <c r="B2756" t="s">
        <v>6</v>
      </c>
      <c r="C2756" t="s">
        <v>7</v>
      </c>
      <c r="D2756" t="s">
        <v>10</v>
      </c>
      <c r="E2756" s="2">
        <v>43336.396469907406</v>
      </c>
      <c r="F2756" t="s">
        <v>585</v>
      </c>
      <c r="G2756" t="s">
        <v>323</v>
      </c>
      <c r="H2756" t="s">
        <v>318</v>
      </c>
      <c r="I2756" t="s">
        <v>494</v>
      </c>
      <c r="J2756" t="s">
        <v>501</v>
      </c>
    </row>
    <row r="2757" spans="1:10" hidden="1" x14ac:dyDescent="0.25">
      <c r="A2757" t="s">
        <v>212</v>
      </c>
      <c r="B2757" t="s">
        <v>6</v>
      </c>
      <c r="C2757" t="s">
        <v>7</v>
      </c>
      <c r="D2757" t="s">
        <v>10</v>
      </c>
      <c r="E2757" s="2">
        <v>43336.39671296296</v>
      </c>
      <c r="F2757" t="s">
        <v>303</v>
      </c>
      <c r="G2757" t="s">
        <v>432</v>
      </c>
      <c r="H2757" t="s">
        <v>433</v>
      </c>
      <c r="I2757" t="s">
        <v>494</v>
      </c>
      <c r="J2757" t="s">
        <v>501</v>
      </c>
    </row>
    <row r="2758" spans="1:10" hidden="1" x14ac:dyDescent="0.25">
      <c r="A2758" t="s">
        <v>58</v>
      </c>
      <c r="B2758" t="s">
        <v>6</v>
      </c>
      <c r="C2758" t="s">
        <v>7</v>
      </c>
      <c r="D2758" t="s">
        <v>10</v>
      </c>
      <c r="E2758" s="2">
        <v>43336.396921296298</v>
      </c>
      <c r="F2758" t="s">
        <v>300</v>
      </c>
      <c r="G2758" t="s">
        <v>455</v>
      </c>
      <c r="H2758" t="s">
        <v>459</v>
      </c>
      <c r="I2758" t="s">
        <v>552</v>
      </c>
      <c r="J2758" t="s">
        <v>568</v>
      </c>
    </row>
    <row r="2759" spans="1:10" hidden="1" x14ac:dyDescent="0.25">
      <c r="A2759" t="s">
        <v>171</v>
      </c>
      <c r="B2759" t="s">
        <v>6</v>
      </c>
      <c r="C2759" t="s">
        <v>7</v>
      </c>
      <c r="D2759" t="s">
        <v>10</v>
      </c>
      <c r="E2759" s="2">
        <v>43336.397083333337</v>
      </c>
      <c r="F2759" t="s">
        <v>585</v>
      </c>
      <c r="G2759" t="s">
        <v>323</v>
      </c>
      <c r="H2759" t="s">
        <v>323</v>
      </c>
      <c r="I2759" t="s">
        <v>494</v>
      </c>
      <c r="J2759" t="s">
        <v>501</v>
      </c>
    </row>
    <row r="2760" spans="1:10" hidden="1" x14ac:dyDescent="0.25">
      <c r="A2760" t="s">
        <v>286</v>
      </c>
      <c r="B2760" t="s">
        <v>6</v>
      </c>
      <c r="C2760" t="s">
        <v>7</v>
      </c>
      <c r="D2760" t="s">
        <v>10</v>
      </c>
      <c r="E2760" s="2">
        <v>43336.397337962961</v>
      </c>
      <c r="F2760" t="s">
        <v>303</v>
      </c>
      <c r="G2760" t="s">
        <v>432</v>
      </c>
      <c r="H2760" t="s">
        <v>434</v>
      </c>
      <c r="I2760" t="s">
        <v>494</v>
      </c>
      <c r="J2760" t="s">
        <v>501</v>
      </c>
    </row>
    <row r="2761" spans="1:10" hidden="1" x14ac:dyDescent="0.25">
      <c r="A2761" t="s">
        <v>54</v>
      </c>
      <c r="B2761" t="s">
        <v>6</v>
      </c>
      <c r="C2761" t="s">
        <v>7</v>
      </c>
      <c r="D2761" t="s">
        <v>10</v>
      </c>
      <c r="E2761" s="2">
        <v>43336.397546296299</v>
      </c>
      <c r="F2761" t="s">
        <v>300</v>
      </c>
      <c r="G2761" t="s">
        <v>455</v>
      </c>
      <c r="H2761" t="s">
        <v>460</v>
      </c>
      <c r="I2761" t="s">
        <v>552</v>
      </c>
      <c r="J2761" t="s">
        <v>568</v>
      </c>
    </row>
    <row r="2762" spans="1:10" hidden="1" x14ac:dyDescent="0.25">
      <c r="A2762" t="s">
        <v>207</v>
      </c>
      <c r="B2762" t="s">
        <v>6</v>
      </c>
      <c r="C2762" t="s">
        <v>7</v>
      </c>
      <c r="D2762" t="s">
        <v>10</v>
      </c>
      <c r="E2762" s="2">
        <v>43336.39770833333</v>
      </c>
      <c r="F2762" t="s">
        <v>585</v>
      </c>
      <c r="G2762" t="s">
        <v>323</v>
      </c>
      <c r="H2762" t="s">
        <v>385</v>
      </c>
      <c r="I2762" t="s">
        <v>494</v>
      </c>
      <c r="J2762" t="s">
        <v>501</v>
      </c>
    </row>
    <row r="2763" spans="1:10" hidden="1" x14ac:dyDescent="0.25">
      <c r="A2763" t="s">
        <v>189</v>
      </c>
      <c r="B2763" t="s">
        <v>6</v>
      </c>
      <c r="C2763" t="s">
        <v>7</v>
      </c>
      <c r="D2763" t="s">
        <v>10</v>
      </c>
      <c r="E2763" s="2">
        <v>43336.397962962961</v>
      </c>
      <c r="F2763" t="s">
        <v>303</v>
      </c>
      <c r="G2763" t="s">
        <v>432</v>
      </c>
      <c r="H2763" t="s">
        <v>435</v>
      </c>
      <c r="I2763" t="s">
        <v>494</v>
      </c>
      <c r="J2763" t="s">
        <v>501</v>
      </c>
    </row>
    <row r="2764" spans="1:10" hidden="1" x14ac:dyDescent="0.25">
      <c r="A2764" t="s">
        <v>102</v>
      </c>
      <c r="B2764" t="s">
        <v>6</v>
      </c>
      <c r="C2764" t="s">
        <v>7</v>
      </c>
      <c r="D2764" t="s">
        <v>10</v>
      </c>
      <c r="E2764" s="2">
        <v>43336.398182870369</v>
      </c>
      <c r="F2764" t="s">
        <v>300</v>
      </c>
      <c r="G2764" t="s">
        <v>455</v>
      </c>
      <c r="H2764" t="s">
        <v>461</v>
      </c>
      <c r="I2764" t="s">
        <v>533</v>
      </c>
      <c r="J2764" t="s">
        <v>543</v>
      </c>
    </row>
    <row r="2765" spans="1:10" hidden="1" x14ac:dyDescent="0.25">
      <c r="A2765" t="s">
        <v>137</v>
      </c>
      <c r="B2765" t="s">
        <v>6</v>
      </c>
      <c r="C2765" t="s">
        <v>7</v>
      </c>
      <c r="D2765" t="s">
        <v>10</v>
      </c>
      <c r="E2765" s="2">
        <v>43336.398333333331</v>
      </c>
      <c r="F2765" t="s">
        <v>585</v>
      </c>
      <c r="G2765" t="s">
        <v>323</v>
      </c>
      <c r="H2765" t="s">
        <v>457</v>
      </c>
      <c r="I2765" t="s">
        <v>494</v>
      </c>
      <c r="J2765" t="s">
        <v>501</v>
      </c>
    </row>
    <row r="2766" spans="1:10" hidden="1" x14ac:dyDescent="0.25">
      <c r="A2766" t="s">
        <v>211</v>
      </c>
      <c r="B2766" t="s">
        <v>6</v>
      </c>
      <c r="C2766" t="s">
        <v>7</v>
      </c>
      <c r="D2766" t="s">
        <v>10</v>
      </c>
      <c r="E2766" s="2">
        <v>43336.398587962962</v>
      </c>
      <c r="F2766" t="s">
        <v>303</v>
      </c>
      <c r="G2766" t="s">
        <v>432</v>
      </c>
      <c r="H2766" t="s">
        <v>436</v>
      </c>
      <c r="I2766" t="s">
        <v>494</v>
      </c>
      <c r="J2766" t="s">
        <v>501</v>
      </c>
    </row>
    <row r="2767" spans="1:10" hidden="1" x14ac:dyDescent="0.25">
      <c r="A2767" t="s">
        <v>61</v>
      </c>
      <c r="B2767" t="s">
        <v>6</v>
      </c>
      <c r="C2767" t="s">
        <v>7</v>
      </c>
      <c r="D2767" t="s">
        <v>476</v>
      </c>
      <c r="E2767" s="2">
        <v>43336.398784722223</v>
      </c>
      <c r="F2767" t="s">
        <v>300</v>
      </c>
      <c r="G2767" t="s">
        <v>455</v>
      </c>
      <c r="H2767" t="s">
        <v>462</v>
      </c>
      <c r="I2767" t="s">
        <v>533</v>
      </c>
      <c r="J2767" t="s">
        <v>543</v>
      </c>
    </row>
    <row r="2768" spans="1:10" hidden="1" x14ac:dyDescent="0.25">
      <c r="A2768" t="s">
        <v>164</v>
      </c>
      <c r="B2768" t="s">
        <v>306</v>
      </c>
      <c r="C2768" t="s">
        <v>306</v>
      </c>
      <c r="D2768" t="s">
        <v>307</v>
      </c>
      <c r="E2768" s="2">
        <v>43336.398946759262</v>
      </c>
      <c r="F2768" t="s">
        <v>298</v>
      </c>
      <c r="G2768" t="s">
        <v>457</v>
      </c>
      <c r="H2768" t="s">
        <v>441</v>
      </c>
      <c r="I2768" t="s">
        <v>492</v>
      </c>
      <c r="J2768" t="s">
        <v>493</v>
      </c>
    </row>
    <row r="2769" spans="1:10" hidden="1" x14ac:dyDescent="0.25">
      <c r="A2769" t="s">
        <v>143</v>
      </c>
      <c r="B2769" t="s">
        <v>6</v>
      </c>
      <c r="C2769" t="s">
        <v>7</v>
      </c>
      <c r="D2769" t="s">
        <v>10</v>
      </c>
      <c r="E2769" s="2">
        <v>43336.398969907408</v>
      </c>
      <c r="F2769" t="s">
        <v>585</v>
      </c>
      <c r="G2769" t="s">
        <v>323</v>
      </c>
      <c r="H2769" t="s">
        <v>458</v>
      </c>
      <c r="I2769" t="s">
        <v>494</v>
      </c>
      <c r="J2769" t="s">
        <v>501</v>
      </c>
    </row>
    <row r="2770" spans="1:10" hidden="1" x14ac:dyDescent="0.25">
      <c r="A2770" t="s">
        <v>141</v>
      </c>
      <c r="B2770" t="s">
        <v>6</v>
      </c>
      <c r="C2770" t="s">
        <v>7</v>
      </c>
      <c r="D2770" t="s">
        <v>10</v>
      </c>
      <c r="E2770" s="2">
        <v>43336.399212962962</v>
      </c>
      <c r="F2770" t="s">
        <v>303</v>
      </c>
      <c r="G2770" t="s">
        <v>432</v>
      </c>
      <c r="H2770" t="s">
        <v>437</v>
      </c>
      <c r="I2770" t="s">
        <v>494</v>
      </c>
      <c r="J2770" t="s">
        <v>501</v>
      </c>
    </row>
    <row r="2771" spans="1:10" hidden="1" x14ac:dyDescent="0.25">
      <c r="A2771" t="s">
        <v>53</v>
      </c>
      <c r="B2771" t="s">
        <v>6</v>
      </c>
      <c r="C2771" t="s">
        <v>7</v>
      </c>
      <c r="D2771" t="s">
        <v>476</v>
      </c>
      <c r="E2771" s="2">
        <v>43336.399386574078</v>
      </c>
      <c r="F2771" t="s">
        <v>300</v>
      </c>
      <c r="G2771" t="s">
        <v>455</v>
      </c>
      <c r="H2771" t="s">
        <v>453</v>
      </c>
      <c r="I2771" t="s">
        <v>533</v>
      </c>
      <c r="J2771" t="s">
        <v>543</v>
      </c>
    </row>
    <row r="2772" spans="1:10" hidden="1" x14ac:dyDescent="0.25">
      <c r="A2772" t="s">
        <v>206</v>
      </c>
      <c r="B2772" t="s">
        <v>6</v>
      </c>
      <c r="C2772" t="s">
        <v>7</v>
      </c>
      <c r="D2772" t="s">
        <v>10</v>
      </c>
      <c r="E2772" s="2">
        <v>43336.399571759262</v>
      </c>
      <c r="F2772" t="s">
        <v>585</v>
      </c>
      <c r="G2772" t="s">
        <v>323</v>
      </c>
      <c r="H2772" t="s">
        <v>459</v>
      </c>
      <c r="I2772" t="s">
        <v>494</v>
      </c>
      <c r="J2772" t="s">
        <v>501</v>
      </c>
    </row>
    <row r="2773" spans="1:10" hidden="1" x14ac:dyDescent="0.25">
      <c r="A2773" t="s">
        <v>127</v>
      </c>
      <c r="B2773" t="s">
        <v>6</v>
      </c>
      <c r="C2773" t="s">
        <v>7</v>
      </c>
      <c r="D2773" t="s">
        <v>10</v>
      </c>
      <c r="E2773" s="2">
        <v>43336.39984953704</v>
      </c>
      <c r="F2773" t="s">
        <v>303</v>
      </c>
      <c r="G2773" t="s">
        <v>432</v>
      </c>
      <c r="H2773" t="s">
        <v>438</v>
      </c>
      <c r="I2773" t="s">
        <v>494</v>
      </c>
      <c r="J2773" t="s">
        <v>501</v>
      </c>
    </row>
    <row r="2774" spans="1:10" hidden="1" x14ac:dyDescent="0.25">
      <c r="A2774" t="s">
        <v>156</v>
      </c>
      <c r="B2774" t="s">
        <v>6</v>
      </c>
      <c r="C2774" t="s">
        <v>7</v>
      </c>
      <c r="D2774" t="s">
        <v>476</v>
      </c>
      <c r="E2774" s="2">
        <v>43336.4</v>
      </c>
      <c r="F2774" t="s">
        <v>300</v>
      </c>
      <c r="G2774" t="s">
        <v>455</v>
      </c>
      <c r="H2774" t="s">
        <v>454</v>
      </c>
      <c r="I2774" t="s">
        <v>533</v>
      </c>
      <c r="J2774" t="s">
        <v>543</v>
      </c>
    </row>
    <row r="2775" spans="1:10" hidden="1" x14ac:dyDescent="0.25">
      <c r="A2775" t="s">
        <v>48</v>
      </c>
      <c r="B2775" t="s">
        <v>6</v>
      </c>
      <c r="C2775" t="s">
        <v>7</v>
      </c>
      <c r="D2775" t="s">
        <v>10</v>
      </c>
      <c r="E2775" s="2">
        <v>43336.400208333333</v>
      </c>
      <c r="F2775" t="s">
        <v>585</v>
      </c>
      <c r="G2775" t="s">
        <v>323</v>
      </c>
      <c r="H2775" t="s">
        <v>460</v>
      </c>
      <c r="I2775" t="s">
        <v>494</v>
      </c>
      <c r="J2775" t="s">
        <v>501</v>
      </c>
    </row>
    <row r="2776" spans="1:10" hidden="1" x14ac:dyDescent="0.25">
      <c r="A2776" t="s">
        <v>70</v>
      </c>
      <c r="B2776" t="s">
        <v>6</v>
      </c>
      <c r="C2776" t="s">
        <v>7</v>
      </c>
      <c r="D2776" t="s">
        <v>10</v>
      </c>
      <c r="E2776" s="2">
        <v>43336.400613425925</v>
      </c>
      <c r="F2776" t="s">
        <v>300</v>
      </c>
      <c r="G2776" t="s">
        <v>455</v>
      </c>
      <c r="H2776" t="s">
        <v>455</v>
      </c>
      <c r="I2776" t="s">
        <v>533</v>
      </c>
      <c r="J2776" t="s">
        <v>543</v>
      </c>
    </row>
    <row r="2777" spans="1:10" hidden="1" x14ac:dyDescent="0.25">
      <c r="A2777" t="s">
        <v>210</v>
      </c>
      <c r="B2777" t="s">
        <v>6</v>
      </c>
      <c r="C2777" t="s">
        <v>7</v>
      </c>
      <c r="D2777" t="s">
        <v>27</v>
      </c>
      <c r="E2777" s="2">
        <v>43336.400636574072</v>
      </c>
      <c r="F2777" t="s">
        <v>303</v>
      </c>
      <c r="G2777" t="s">
        <v>432</v>
      </c>
      <c r="H2777" t="s">
        <v>439</v>
      </c>
      <c r="I2777" t="s">
        <v>494</v>
      </c>
      <c r="J2777" t="s">
        <v>501</v>
      </c>
    </row>
    <row r="2778" spans="1:10" hidden="1" x14ac:dyDescent="0.25">
      <c r="A2778" t="s">
        <v>191</v>
      </c>
      <c r="B2778" t="s">
        <v>6</v>
      </c>
      <c r="C2778" t="s">
        <v>7</v>
      </c>
      <c r="D2778" t="s">
        <v>10</v>
      </c>
      <c r="E2778" s="2">
        <v>43336.400821759256</v>
      </c>
      <c r="F2778" t="s">
        <v>585</v>
      </c>
      <c r="G2778" t="s">
        <v>323</v>
      </c>
      <c r="H2778" t="s">
        <v>461</v>
      </c>
      <c r="I2778" t="s">
        <v>494</v>
      </c>
      <c r="J2778" t="s">
        <v>501</v>
      </c>
    </row>
    <row r="2779" spans="1:10" hidden="1" x14ac:dyDescent="0.25">
      <c r="A2779" t="s">
        <v>52</v>
      </c>
      <c r="B2779" t="s">
        <v>6</v>
      </c>
      <c r="C2779" t="s">
        <v>7</v>
      </c>
      <c r="D2779" t="s">
        <v>10</v>
      </c>
      <c r="E2779" s="2">
        <v>43336.401238425926</v>
      </c>
      <c r="F2779" t="s">
        <v>300</v>
      </c>
      <c r="G2779" t="s">
        <v>455</v>
      </c>
      <c r="H2779" t="s">
        <v>456</v>
      </c>
      <c r="I2779" t="s">
        <v>533</v>
      </c>
      <c r="J2779" t="s">
        <v>543</v>
      </c>
    </row>
    <row r="2780" spans="1:10" hidden="1" x14ac:dyDescent="0.25">
      <c r="A2780" t="s">
        <v>209</v>
      </c>
      <c r="B2780" t="s">
        <v>6</v>
      </c>
      <c r="C2780" t="s">
        <v>7</v>
      </c>
      <c r="D2780" t="s">
        <v>10</v>
      </c>
      <c r="E2780" s="2">
        <v>43336.401273148149</v>
      </c>
      <c r="F2780" t="s">
        <v>303</v>
      </c>
      <c r="G2780" t="s">
        <v>432</v>
      </c>
      <c r="H2780" t="s">
        <v>440</v>
      </c>
      <c r="I2780" t="s">
        <v>494</v>
      </c>
      <c r="J2780" t="s">
        <v>501</v>
      </c>
    </row>
    <row r="2781" spans="1:10" hidden="1" x14ac:dyDescent="0.25">
      <c r="A2781" t="s">
        <v>47</v>
      </c>
      <c r="B2781" t="s">
        <v>6</v>
      </c>
      <c r="C2781" t="s">
        <v>7</v>
      </c>
      <c r="D2781" t="s">
        <v>10</v>
      </c>
      <c r="E2781" s="2">
        <v>43336.401435185187</v>
      </c>
      <c r="F2781" t="s">
        <v>585</v>
      </c>
      <c r="G2781" t="s">
        <v>323</v>
      </c>
      <c r="H2781" t="s">
        <v>462</v>
      </c>
      <c r="I2781" t="s">
        <v>494</v>
      </c>
      <c r="J2781" t="s">
        <v>501</v>
      </c>
    </row>
    <row r="2782" spans="1:10" hidden="1" x14ac:dyDescent="0.25">
      <c r="A2782" t="s">
        <v>168</v>
      </c>
      <c r="B2782" t="s">
        <v>306</v>
      </c>
      <c r="C2782" t="s">
        <v>306</v>
      </c>
      <c r="D2782" t="s">
        <v>307</v>
      </c>
      <c r="E2782" s="2">
        <v>43336.401736111111</v>
      </c>
      <c r="F2782" t="s">
        <v>298</v>
      </c>
      <c r="G2782" t="s">
        <v>457</v>
      </c>
      <c r="H2782" t="s">
        <v>442</v>
      </c>
      <c r="I2782" t="s">
        <v>492</v>
      </c>
      <c r="J2782" t="s">
        <v>500</v>
      </c>
    </row>
    <row r="2783" spans="1:10" hidden="1" x14ac:dyDescent="0.25">
      <c r="A2783" t="s">
        <v>51</v>
      </c>
      <c r="B2783" t="s">
        <v>6</v>
      </c>
      <c r="C2783" t="s">
        <v>7</v>
      </c>
      <c r="D2783" t="s">
        <v>10</v>
      </c>
      <c r="E2783" s="2">
        <v>43336.40185185185</v>
      </c>
      <c r="F2783" t="s">
        <v>300</v>
      </c>
      <c r="G2783" t="s">
        <v>455</v>
      </c>
      <c r="H2783" t="s">
        <v>426</v>
      </c>
      <c r="I2783" t="s">
        <v>533</v>
      </c>
      <c r="J2783" t="s">
        <v>543</v>
      </c>
    </row>
    <row r="2784" spans="1:10" hidden="1" x14ac:dyDescent="0.25">
      <c r="A2784" t="s">
        <v>179</v>
      </c>
      <c r="B2784" t="s">
        <v>6</v>
      </c>
      <c r="C2784" t="s">
        <v>7</v>
      </c>
      <c r="D2784" t="s">
        <v>10</v>
      </c>
      <c r="E2784" s="2">
        <v>43336.401898148149</v>
      </c>
      <c r="F2784" t="s">
        <v>303</v>
      </c>
      <c r="G2784" t="s">
        <v>432</v>
      </c>
      <c r="H2784" t="s">
        <v>441</v>
      </c>
      <c r="I2784" t="s">
        <v>494</v>
      </c>
      <c r="J2784" t="s">
        <v>501</v>
      </c>
    </row>
    <row r="2785" spans="1:10" hidden="1" x14ac:dyDescent="0.25">
      <c r="A2785" t="s">
        <v>45</v>
      </c>
      <c r="B2785" t="s">
        <v>6</v>
      </c>
      <c r="C2785" t="s">
        <v>7</v>
      </c>
      <c r="D2785" t="s">
        <v>10</v>
      </c>
      <c r="E2785" s="2">
        <v>43336.402060185188</v>
      </c>
      <c r="F2785" t="s">
        <v>585</v>
      </c>
      <c r="G2785" t="s">
        <v>323</v>
      </c>
      <c r="H2785" t="s">
        <v>453</v>
      </c>
      <c r="I2785" t="s">
        <v>494</v>
      </c>
      <c r="J2785" t="s">
        <v>501</v>
      </c>
    </row>
    <row r="2786" spans="1:10" hidden="1" x14ac:dyDescent="0.25">
      <c r="A2786" t="s">
        <v>90</v>
      </c>
      <c r="B2786" t="s">
        <v>6</v>
      </c>
      <c r="C2786" t="s">
        <v>7</v>
      </c>
      <c r="D2786" t="s">
        <v>10</v>
      </c>
      <c r="E2786" s="2">
        <v>43336.40247685185</v>
      </c>
      <c r="F2786" t="s">
        <v>300</v>
      </c>
      <c r="G2786" t="s">
        <v>455</v>
      </c>
      <c r="H2786" t="s">
        <v>427</v>
      </c>
      <c r="I2786" t="s">
        <v>533</v>
      </c>
      <c r="J2786" t="s">
        <v>543</v>
      </c>
    </row>
    <row r="2787" spans="1:10" hidden="1" x14ac:dyDescent="0.25">
      <c r="A2787" t="s">
        <v>177</v>
      </c>
      <c r="B2787" t="s">
        <v>6</v>
      </c>
      <c r="C2787" t="s">
        <v>7</v>
      </c>
      <c r="D2787" t="s">
        <v>10</v>
      </c>
      <c r="E2787" s="2">
        <v>43336.40253472222</v>
      </c>
      <c r="F2787" t="s">
        <v>303</v>
      </c>
      <c r="G2787" t="s">
        <v>432</v>
      </c>
      <c r="H2787" t="s">
        <v>442</v>
      </c>
      <c r="I2787" t="s">
        <v>494</v>
      </c>
      <c r="J2787" t="s">
        <v>501</v>
      </c>
    </row>
    <row r="2788" spans="1:10" hidden="1" x14ac:dyDescent="0.25">
      <c r="A2788" t="s">
        <v>146</v>
      </c>
      <c r="B2788" t="s">
        <v>6</v>
      </c>
      <c r="C2788" t="s">
        <v>7</v>
      </c>
      <c r="D2788" t="s">
        <v>10</v>
      </c>
      <c r="E2788" s="2">
        <v>43336.402696759258</v>
      </c>
      <c r="F2788" t="s">
        <v>585</v>
      </c>
      <c r="G2788" t="s">
        <v>323</v>
      </c>
      <c r="H2788" t="s">
        <v>454</v>
      </c>
      <c r="I2788" t="s">
        <v>494</v>
      </c>
      <c r="J2788" t="s">
        <v>501</v>
      </c>
    </row>
    <row r="2789" spans="1:10" hidden="1" x14ac:dyDescent="0.25">
      <c r="A2789" t="s">
        <v>106</v>
      </c>
      <c r="B2789" t="s">
        <v>6</v>
      </c>
      <c r="C2789" t="s">
        <v>7</v>
      </c>
      <c r="D2789" t="s">
        <v>10</v>
      </c>
      <c r="E2789" s="2">
        <v>43336.403101851851</v>
      </c>
      <c r="F2789" t="s">
        <v>300</v>
      </c>
      <c r="G2789" t="s">
        <v>455</v>
      </c>
      <c r="H2789" t="s">
        <v>428</v>
      </c>
      <c r="I2789" t="s">
        <v>533</v>
      </c>
      <c r="J2789" t="s">
        <v>543</v>
      </c>
    </row>
    <row r="2790" spans="1:10" hidden="1" x14ac:dyDescent="0.25">
      <c r="A2790" t="s">
        <v>287</v>
      </c>
      <c r="B2790" t="s">
        <v>6</v>
      </c>
      <c r="C2790" t="s">
        <v>7</v>
      </c>
      <c r="D2790" t="s">
        <v>10</v>
      </c>
      <c r="E2790" s="2">
        <v>43336.403171296297</v>
      </c>
      <c r="F2790" t="s">
        <v>303</v>
      </c>
      <c r="G2790" t="s">
        <v>432</v>
      </c>
      <c r="H2790" t="s">
        <v>443</v>
      </c>
      <c r="I2790" t="s">
        <v>494</v>
      </c>
      <c r="J2790" t="s">
        <v>501</v>
      </c>
    </row>
    <row r="2791" spans="1:10" hidden="1" x14ac:dyDescent="0.25">
      <c r="A2791" t="s">
        <v>291</v>
      </c>
      <c r="B2791" t="s">
        <v>6</v>
      </c>
      <c r="C2791" t="s">
        <v>7</v>
      </c>
      <c r="D2791" t="s">
        <v>10</v>
      </c>
      <c r="E2791" s="2">
        <v>43336.403321759259</v>
      </c>
      <c r="F2791" t="s">
        <v>585</v>
      </c>
      <c r="G2791" t="s">
        <v>323</v>
      </c>
      <c r="H2791" t="s">
        <v>455</v>
      </c>
      <c r="I2791" t="s">
        <v>494</v>
      </c>
      <c r="J2791" t="s">
        <v>501</v>
      </c>
    </row>
    <row r="2792" spans="1:10" hidden="1" x14ac:dyDescent="0.25">
      <c r="A2792" t="s">
        <v>185</v>
      </c>
      <c r="B2792" t="s">
        <v>6</v>
      </c>
      <c r="C2792" t="s">
        <v>7</v>
      </c>
      <c r="D2792" t="s">
        <v>10</v>
      </c>
      <c r="E2792" s="2">
        <v>43336.403796296298</v>
      </c>
      <c r="F2792" t="s">
        <v>303</v>
      </c>
      <c r="G2792" t="s">
        <v>432</v>
      </c>
      <c r="H2792" t="s">
        <v>444</v>
      </c>
      <c r="I2792" t="s">
        <v>494</v>
      </c>
      <c r="J2792" t="s">
        <v>501</v>
      </c>
    </row>
    <row r="2793" spans="1:10" hidden="1" x14ac:dyDescent="0.25">
      <c r="A2793" t="s">
        <v>292</v>
      </c>
      <c r="B2793" t="s">
        <v>6</v>
      </c>
      <c r="C2793" t="s">
        <v>7</v>
      </c>
      <c r="D2793" t="s">
        <v>10</v>
      </c>
      <c r="E2793" s="2">
        <v>43336.404131944444</v>
      </c>
      <c r="F2793" t="s">
        <v>585</v>
      </c>
      <c r="G2793" t="s">
        <v>323</v>
      </c>
      <c r="H2793" t="s">
        <v>456</v>
      </c>
      <c r="I2793" t="s">
        <v>494</v>
      </c>
      <c r="J2793" t="s">
        <v>501</v>
      </c>
    </row>
    <row r="2794" spans="1:10" hidden="1" x14ac:dyDescent="0.25">
      <c r="A2794" t="s">
        <v>50</v>
      </c>
      <c r="B2794" t="s">
        <v>6</v>
      </c>
      <c r="C2794" t="s">
        <v>7</v>
      </c>
      <c r="D2794" t="s">
        <v>10</v>
      </c>
      <c r="E2794" s="2">
        <v>43336.40415509259</v>
      </c>
      <c r="F2794" t="s">
        <v>300</v>
      </c>
      <c r="G2794" t="s">
        <v>455</v>
      </c>
      <c r="H2794" t="s">
        <v>429</v>
      </c>
      <c r="I2794" t="s">
        <v>533</v>
      </c>
      <c r="J2794" t="s">
        <v>543</v>
      </c>
    </row>
    <row r="2795" spans="1:10" hidden="1" x14ac:dyDescent="0.25">
      <c r="A2795" t="s">
        <v>175</v>
      </c>
      <c r="B2795" t="s">
        <v>6</v>
      </c>
      <c r="C2795" t="s">
        <v>7</v>
      </c>
      <c r="D2795" t="s">
        <v>10</v>
      </c>
      <c r="E2795" s="2">
        <v>43336.404444444444</v>
      </c>
      <c r="F2795" t="s">
        <v>303</v>
      </c>
      <c r="G2795" t="s">
        <v>432</v>
      </c>
      <c r="H2795" t="s">
        <v>445</v>
      </c>
      <c r="I2795" t="s">
        <v>494</v>
      </c>
      <c r="J2795" t="s">
        <v>501</v>
      </c>
    </row>
    <row r="2796" spans="1:10" hidden="1" x14ac:dyDescent="0.25">
      <c r="A2796" t="s">
        <v>163</v>
      </c>
      <c r="B2796" t="s">
        <v>306</v>
      </c>
      <c r="C2796" t="s">
        <v>306</v>
      </c>
      <c r="D2796" t="s">
        <v>307</v>
      </c>
      <c r="E2796" s="2">
        <v>43336.40452546296</v>
      </c>
      <c r="F2796" t="s">
        <v>298</v>
      </c>
      <c r="G2796" t="s">
        <v>457</v>
      </c>
      <c r="H2796" t="s">
        <v>443</v>
      </c>
      <c r="I2796" t="s">
        <v>492</v>
      </c>
      <c r="J2796" t="s">
        <v>493</v>
      </c>
    </row>
    <row r="2797" spans="1:10" hidden="1" x14ac:dyDescent="0.25">
      <c r="A2797" t="s">
        <v>170</v>
      </c>
      <c r="B2797" t="s">
        <v>6</v>
      </c>
      <c r="C2797" t="s">
        <v>7</v>
      </c>
      <c r="D2797" t="s">
        <v>10</v>
      </c>
      <c r="E2797" s="2">
        <v>43336.404768518521</v>
      </c>
      <c r="F2797" t="s">
        <v>585</v>
      </c>
      <c r="G2797" t="s">
        <v>323</v>
      </c>
      <c r="H2797" t="s">
        <v>426</v>
      </c>
      <c r="I2797" t="s">
        <v>494</v>
      </c>
      <c r="J2797" t="s">
        <v>501</v>
      </c>
    </row>
    <row r="2798" spans="1:10" hidden="1" x14ac:dyDescent="0.25">
      <c r="A2798" t="s">
        <v>49</v>
      </c>
      <c r="B2798" t="s">
        <v>6</v>
      </c>
      <c r="C2798" t="s">
        <v>7</v>
      </c>
      <c r="D2798" t="s">
        <v>10</v>
      </c>
      <c r="E2798" s="2">
        <v>43336.404780092591</v>
      </c>
      <c r="F2798" t="s">
        <v>300</v>
      </c>
      <c r="G2798" t="s">
        <v>455</v>
      </c>
      <c r="H2798" t="s">
        <v>430</v>
      </c>
      <c r="I2798" t="s">
        <v>533</v>
      </c>
      <c r="J2798" t="s">
        <v>543</v>
      </c>
    </row>
    <row r="2799" spans="1:10" hidden="1" x14ac:dyDescent="0.25">
      <c r="A2799" t="s">
        <v>288</v>
      </c>
      <c r="B2799" t="s">
        <v>6</v>
      </c>
      <c r="C2799" t="s">
        <v>7</v>
      </c>
      <c r="D2799" t="s">
        <v>10</v>
      </c>
      <c r="E2799" s="2">
        <v>43336.405081018522</v>
      </c>
      <c r="F2799" t="s">
        <v>303</v>
      </c>
      <c r="G2799" t="s">
        <v>432</v>
      </c>
      <c r="H2799" t="s">
        <v>446</v>
      </c>
      <c r="I2799" t="s">
        <v>494</v>
      </c>
      <c r="J2799" t="s">
        <v>501</v>
      </c>
    </row>
    <row r="2800" spans="1:10" hidden="1" x14ac:dyDescent="0.25">
      <c r="A2800" t="s">
        <v>293</v>
      </c>
      <c r="B2800" t="s">
        <v>6</v>
      </c>
      <c r="C2800" t="s">
        <v>7</v>
      </c>
      <c r="D2800" t="s">
        <v>10</v>
      </c>
      <c r="E2800" s="2">
        <v>43336.405405092592</v>
      </c>
      <c r="F2800" t="s">
        <v>585</v>
      </c>
      <c r="G2800" t="s">
        <v>323</v>
      </c>
      <c r="H2800" t="s">
        <v>427</v>
      </c>
      <c r="I2800" t="s">
        <v>494</v>
      </c>
      <c r="J2800" t="s">
        <v>501</v>
      </c>
    </row>
    <row r="2801" spans="1:10" hidden="1" x14ac:dyDescent="0.25">
      <c r="A2801" t="s">
        <v>139</v>
      </c>
      <c r="B2801" t="s">
        <v>6</v>
      </c>
      <c r="C2801" t="s">
        <v>7</v>
      </c>
      <c r="D2801" t="s">
        <v>10</v>
      </c>
      <c r="E2801" s="2">
        <v>43336.405706018515</v>
      </c>
      <c r="F2801" t="s">
        <v>303</v>
      </c>
      <c r="G2801" t="s">
        <v>432</v>
      </c>
      <c r="H2801" t="s">
        <v>447</v>
      </c>
      <c r="I2801" t="s">
        <v>494</v>
      </c>
      <c r="J2801" t="s">
        <v>501</v>
      </c>
    </row>
    <row r="2802" spans="1:10" hidden="1" x14ac:dyDescent="0.25">
      <c r="A2802" t="s">
        <v>44</v>
      </c>
      <c r="B2802" t="s">
        <v>6</v>
      </c>
      <c r="C2802" t="s">
        <v>7</v>
      </c>
      <c r="D2802" t="s">
        <v>10</v>
      </c>
      <c r="E2802" s="2">
        <v>43336.406041666669</v>
      </c>
      <c r="F2802" t="s">
        <v>585</v>
      </c>
      <c r="G2802" t="s">
        <v>323</v>
      </c>
      <c r="H2802" t="s">
        <v>428</v>
      </c>
      <c r="I2802" t="s">
        <v>494</v>
      </c>
      <c r="J2802" t="s">
        <v>501</v>
      </c>
    </row>
    <row r="2803" spans="1:10" hidden="1" x14ac:dyDescent="0.25">
      <c r="A2803" t="s">
        <v>289</v>
      </c>
      <c r="B2803" t="s">
        <v>6</v>
      </c>
      <c r="C2803" t="s">
        <v>7</v>
      </c>
      <c r="D2803" t="s">
        <v>10</v>
      </c>
      <c r="E2803" s="2">
        <v>43336.406331018516</v>
      </c>
      <c r="F2803" t="s">
        <v>303</v>
      </c>
      <c r="G2803" t="s">
        <v>432</v>
      </c>
      <c r="H2803" t="s">
        <v>448</v>
      </c>
      <c r="I2803" t="s">
        <v>494</v>
      </c>
      <c r="J2803" t="s">
        <v>501</v>
      </c>
    </row>
    <row r="2804" spans="1:10" hidden="1" x14ac:dyDescent="0.25">
      <c r="A2804" t="s">
        <v>218</v>
      </c>
      <c r="B2804" t="s">
        <v>306</v>
      </c>
      <c r="C2804" t="s">
        <v>306</v>
      </c>
      <c r="D2804" t="s">
        <v>307</v>
      </c>
      <c r="E2804" s="2">
        <v>43336.407314814816</v>
      </c>
      <c r="F2804" t="s">
        <v>298</v>
      </c>
      <c r="G2804" t="s">
        <v>457</v>
      </c>
      <c r="H2804" t="s">
        <v>444</v>
      </c>
      <c r="I2804" t="s">
        <v>492</v>
      </c>
      <c r="J2804" t="s">
        <v>493</v>
      </c>
    </row>
    <row r="2805" spans="1:10" hidden="1" x14ac:dyDescent="0.25">
      <c r="A2805" t="s">
        <v>162</v>
      </c>
      <c r="B2805" t="s">
        <v>306</v>
      </c>
      <c r="C2805" t="s">
        <v>306</v>
      </c>
      <c r="D2805" t="s">
        <v>307</v>
      </c>
      <c r="E2805" s="2">
        <v>43336.410115740742</v>
      </c>
      <c r="F2805" t="s">
        <v>298</v>
      </c>
      <c r="G2805" t="s">
        <v>457</v>
      </c>
      <c r="H2805" t="s">
        <v>445</v>
      </c>
      <c r="I2805" t="s">
        <v>492</v>
      </c>
      <c r="J2805" t="s">
        <v>493</v>
      </c>
    </row>
    <row r="2806" spans="1:10" hidden="1" x14ac:dyDescent="0.25">
      <c r="A2806" t="s">
        <v>221</v>
      </c>
      <c r="B2806" t="s">
        <v>6</v>
      </c>
      <c r="C2806" t="s">
        <v>7</v>
      </c>
      <c r="D2806" t="s">
        <v>10</v>
      </c>
      <c r="E2806" s="2">
        <v>43336.420185185183</v>
      </c>
      <c r="F2806" t="s">
        <v>298</v>
      </c>
      <c r="G2806" t="s">
        <v>458</v>
      </c>
      <c r="H2806" t="s">
        <v>446</v>
      </c>
      <c r="I2806" t="s">
        <v>492</v>
      </c>
      <c r="J2806" t="s">
        <v>493</v>
      </c>
    </row>
    <row r="2807" spans="1:10" hidden="1" x14ac:dyDescent="0.25">
      <c r="A2807" t="s">
        <v>114</v>
      </c>
      <c r="B2807" t="s">
        <v>6</v>
      </c>
      <c r="C2807" t="s">
        <v>7</v>
      </c>
      <c r="D2807" t="s">
        <v>10</v>
      </c>
      <c r="E2807" s="2">
        <v>43336.420810185184</v>
      </c>
      <c r="F2807" t="s">
        <v>298</v>
      </c>
      <c r="G2807" t="s">
        <v>458</v>
      </c>
      <c r="H2807" t="s">
        <v>447</v>
      </c>
      <c r="I2807" t="s">
        <v>492</v>
      </c>
      <c r="J2807" t="s">
        <v>493</v>
      </c>
    </row>
    <row r="2808" spans="1:10" hidden="1" x14ac:dyDescent="0.25">
      <c r="A2808" t="s">
        <v>158</v>
      </c>
      <c r="B2808" t="s">
        <v>6</v>
      </c>
      <c r="C2808" t="s">
        <v>7</v>
      </c>
      <c r="D2808" t="s">
        <v>10</v>
      </c>
      <c r="E2808" s="2">
        <v>43336.421423611115</v>
      </c>
      <c r="F2808" t="s">
        <v>298</v>
      </c>
      <c r="G2808" t="s">
        <v>458</v>
      </c>
      <c r="H2808" t="s">
        <v>448</v>
      </c>
      <c r="I2808" t="s">
        <v>492</v>
      </c>
      <c r="J2808" t="s">
        <v>493</v>
      </c>
    </row>
    <row r="2809" spans="1:10" hidden="1" x14ac:dyDescent="0.25">
      <c r="A2809" t="s">
        <v>272</v>
      </c>
      <c r="B2809" t="s">
        <v>6</v>
      </c>
      <c r="C2809" t="s">
        <v>7</v>
      </c>
      <c r="D2809" t="s">
        <v>10</v>
      </c>
      <c r="E2809" s="2">
        <v>43336.421863425923</v>
      </c>
      <c r="F2809" t="s">
        <v>300</v>
      </c>
      <c r="G2809" t="s">
        <v>455</v>
      </c>
      <c r="H2809" t="s">
        <v>431</v>
      </c>
      <c r="I2809" t="s">
        <v>494</v>
      </c>
      <c r="J2809" t="s">
        <v>582</v>
      </c>
    </row>
    <row r="2810" spans="1:10" hidden="1" x14ac:dyDescent="0.25">
      <c r="A2810" t="s">
        <v>16</v>
      </c>
      <c r="B2810" t="s">
        <v>6</v>
      </c>
      <c r="C2810" t="s">
        <v>7</v>
      </c>
      <c r="D2810" t="s">
        <v>10</v>
      </c>
      <c r="E2810" s="2">
        <v>43336.422048611108</v>
      </c>
      <c r="F2810" t="s">
        <v>298</v>
      </c>
      <c r="G2810" t="s">
        <v>458</v>
      </c>
      <c r="H2810" t="s">
        <v>449</v>
      </c>
      <c r="I2810" t="s">
        <v>492</v>
      </c>
      <c r="J2810" t="s">
        <v>493</v>
      </c>
    </row>
    <row r="2811" spans="1:10" hidden="1" x14ac:dyDescent="0.25">
      <c r="A2811" t="s">
        <v>290</v>
      </c>
      <c r="B2811" t="s">
        <v>6</v>
      </c>
      <c r="C2811" t="s">
        <v>7</v>
      </c>
      <c r="D2811" t="s">
        <v>476</v>
      </c>
      <c r="E2811" s="2">
        <v>43336.422465277778</v>
      </c>
      <c r="F2811" t="s">
        <v>303</v>
      </c>
      <c r="G2811" t="s">
        <v>433</v>
      </c>
      <c r="H2811" t="s">
        <v>449</v>
      </c>
      <c r="I2811" t="s">
        <v>494</v>
      </c>
      <c r="J2811" t="s">
        <v>501</v>
      </c>
    </row>
    <row r="2812" spans="1:10" hidden="1" x14ac:dyDescent="0.25">
      <c r="A2812" t="s">
        <v>282</v>
      </c>
      <c r="B2812" t="s">
        <v>6</v>
      </c>
      <c r="C2812" t="s">
        <v>7</v>
      </c>
      <c r="D2812" t="s">
        <v>10</v>
      </c>
      <c r="E2812" s="2">
        <v>43336.422476851854</v>
      </c>
      <c r="F2812" t="s">
        <v>300</v>
      </c>
      <c r="G2812" t="s">
        <v>455</v>
      </c>
      <c r="H2812" t="s">
        <v>432</v>
      </c>
      <c r="I2812" t="s">
        <v>494</v>
      </c>
      <c r="J2812" t="s">
        <v>582</v>
      </c>
    </row>
    <row r="2813" spans="1:10" hidden="1" x14ac:dyDescent="0.25">
      <c r="A2813" t="s">
        <v>113</v>
      </c>
      <c r="B2813" t="s">
        <v>6</v>
      </c>
      <c r="C2813" t="s">
        <v>7</v>
      </c>
      <c r="D2813" t="s">
        <v>10</v>
      </c>
      <c r="E2813" s="2">
        <v>43336.422662037039</v>
      </c>
      <c r="F2813" t="s">
        <v>298</v>
      </c>
      <c r="G2813" t="s">
        <v>458</v>
      </c>
      <c r="H2813" t="s">
        <v>450</v>
      </c>
      <c r="I2813" t="s">
        <v>492</v>
      </c>
      <c r="J2813" t="s">
        <v>493</v>
      </c>
    </row>
    <row r="2814" spans="1:10" hidden="1" x14ac:dyDescent="0.25">
      <c r="A2814" t="s">
        <v>245</v>
      </c>
      <c r="B2814" t="s">
        <v>6</v>
      </c>
      <c r="C2814" t="s">
        <v>7</v>
      </c>
      <c r="D2814" t="s">
        <v>10</v>
      </c>
      <c r="E2814" s="2">
        <v>43336.423067129632</v>
      </c>
      <c r="F2814" t="s">
        <v>300</v>
      </c>
      <c r="G2814" t="s">
        <v>455</v>
      </c>
      <c r="H2814" t="s">
        <v>433</v>
      </c>
      <c r="I2814" t="s">
        <v>494</v>
      </c>
      <c r="J2814" t="s">
        <v>582</v>
      </c>
    </row>
    <row r="2815" spans="1:10" hidden="1" x14ac:dyDescent="0.25">
      <c r="A2815" t="s">
        <v>236</v>
      </c>
      <c r="B2815" t="s">
        <v>6</v>
      </c>
      <c r="C2815" t="s">
        <v>7</v>
      </c>
      <c r="D2815" t="s">
        <v>10</v>
      </c>
      <c r="E2815" s="2">
        <v>43336.423078703701</v>
      </c>
      <c r="F2815" t="s">
        <v>303</v>
      </c>
      <c r="G2815" t="s">
        <v>433</v>
      </c>
      <c r="H2815" t="s">
        <v>450</v>
      </c>
      <c r="I2815" t="s">
        <v>494</v>
      </c>
      <c r="J2815" t="s">
        <v>501</v>
      </c>
    </row>
    <row r="2816" spans="1:10" hidden="1" x14ac:dyDescent="0.25">
      <c r="A2816" t="s">
        <v>112</v>
      </c>
      <c r="B2816" t="s">
        <v>6</v>
      </c>
      <c r="C2816" t="s">
        <v>7</v>
      </c>
      <c r="D2816" t="s">
        <v>10</v>
      </c>
      <c r="E2816" s="2">
        <v>43336.423263888886</v>
      </c>
      <c r="F2816" t="s">
        <v>298</v>
      </c>
      <c r="G2816" t="s">
        <v>458</v>
      </c>
      <c r="H2816" t="s">
        <v>451</v>
      </c>
      <c r="I2816" t="s">
        <v>492</v>
      </c>
      <c r="J2816" t="s">
        <v>493</v>
      </c>
    </row>
    <row r="2817" spans="1:10" hidden="1" x14ac:dyDescent="0.25">
      <c r="A2817" t="s">
        <v>124</v>
      </c>
      <c r="B2817" t="s">
        <v>6</v>
      </c>
      <c r="C2817" t="s">
        <v>7</v>
      </c>
      <c r="D2817" t="s">
        <v>10</v>
      </c>
      <c r="E2817" s="2">
        <v>43336.423310185186</v>
      </c>
      <c r="F2817" t="s">
        <v>585</v>
      </c>
      <c r="G2817" t="s">
        <v>385</v>
      </c>
      <c r="H2817" t="s">
        <v>429</v>
      </c>
      <c r="I2817" t="s">
        <v>494</v>
      </c>
      <c r="J2817" t="s">
        <v>501</v>
      </c>
    </row>
    <row r="2818" spans="1:10" hidden="1" x14ac:dyDescent="0.25">
      <c r="A2818" t="s">
        <v>246</v>
      </c>
      <c r="B2818" t="s">
        <v>6</v>
      </c>
      <c r="C2818" t="s">
        <v>7</v>
      </c>
      <c r="D2818" t="s">
        <v>10</v>
      </c>
      <c r="E2818" s="2">
        <v>43336.423692129632</v>
      </c>
      <c r="F2818" t="s">
        <v>300</v>
      </c>
      <c r="G2818" t="s">
        <v>455</v>
      </c>
      <c r="H2818" t="s">
        <v>434</v>
      </c>
      <c r="I2818" t="s">
        <v>494</v>
      </c>
      <c r="J2818" t="s">
        <v>582</v>
      </c>
    </row>
    <row r="2819" spans="1:10" hidden="1" x14ac:dyDescent="0.25">
      <c r="A2819" t="s">
        <v>173</v>
      </c>
      <c r="B2819" t="s">
        <v>6</v>
      </c>
      <c r="C2819" t="s">
        <v>7</v>
      </c>
      <c r="D2819" t="s">
        <v>10</v>
      </c>
      <c r="E2819" s="2">
        <v>43336.423715277779</v>
      </c>
      <c r="F2819" t="s">
        <v>303</v>
      </c>
      <c r="G2819" t="s">
        <v>433</v>
      </c>
      <c r="H2819" t="s">
        <v>451</v>
      </c>
      <c r="I2819" t="s">
        <v>494</v>
      </c>
      <c r="J2819" t="s">
        <v>501</v>
      </c>
    </row>
    <row r="2820" spans="1:10" hidden="1" x14ac:dyDescent="0.25">
      <c r="A2820" t="s">
        <v>111</v>
      </c>
      <c r="B2820" t="s">
        <v>6</v>
      </c>
      <c r="C2820" t="s">
        <v>7</v>
      </c>
      <c r="D2820" t="s">
        <v>10</v>
      </c>
      <c r="E2820" s="2">
        <v>43336.423888888887</v>
      </c>
      <c r="F2820" t="s">
        <v>298</v>
      </c>
      <c r="G2820" t="s">
        <v>458</v>
      </c>
      <c r="H2820" t="s">
        <v>452</v>
      </c>
      <c r="I2820" t="s">
        <v>492</v>
      </c>
      <c r="J2820" t="s">
        <v>493</v>
      </c>
    </row>
    <row r="2821" spans="1:10" hidden="1" x14ac:dyDescent="0.25">
      <c r="A2821" t="s">
        <v>43</v>
      </c>
      <c r="B2821" t="s">
        <v>6</v>
      </c>
      <c r="C2821" t="s">
        <v>7</v>
      </c>
      <c r="D2821" t="s">
        <v>10</v>
      </c>
      <c r="E2821" s="2">
        <v>43336.423935185187</v>
      </c>
      <c r="F2821" t="s">
        <v>585</v>
      </c>
      <c r="G2821" t="s">
        <v>385</v>
      </c>
      <c r="H2821" t="s">
        <v>430</v>
      </c>
      <c r="I2821" t="s">
        <v>494</v>
      </c>
      <c r="J2821" t="s">
        <v>501</v>
      </c>
    </row>
    <row r="2822" spans="1:10" hidden="1" x14ac:dyDescent="0.25">
      <c r="A2822" t="s">
        <v>247</v>
      </c>
      <c r="B2822" t="s">
        <v>6</v>
      </c>
      <c r="C2822" t="s">
        <v>7</v>
      </c>
      <c r="D2822" t="s">
        <v>10</v>
      </c>
      <c r="E2822" s="2">
        <v>43336.424317129633</v>
      </c>
      <c r="F2822" t="s">
        <v>300</v>
      </c>
      <c r="G2822" t="s">
        <v>455</v>
      </c>
      <c r="H2822" t="s">
        <v>435</v>
      </c>
      <c r="I2822" t="s">
        <v>494</v>
      </c>
      <c r="J2822" t="s">
        <v>582</v>
      </c>
    </row>
    <row r="2823" spans="1:10" hidden="1" x14ac:dyDescent="0.25">
      <c r="A2823" t="s">
        <v>172</v>
      </c>
      <c r="B2823" t="s">
        <v>6</v>
      </c>
      <c r="C2823" t="s">
        <v>7</v>
      </c>
      <c r="D2823" t="s">
        <v>10</v>
      </c>
      <c r="E2823" s="2">
        <v>43336.424328703702</v>
      </c>
      <c r="F2823" t="s">
        <v>303</v>
      </c>
      <c r="G2823" t="s">
        <v>433</v>
      </c>
      <c r="H2823" t="s">
        <v>452</v>
      </c>
      <c r="I2823" t="s">
        <v>494</v>
      </c>
      <c r="J2823" t="s">
        <v>501</v>
      </c>
    </row>
    <row r="2824" spans="1:10" hidden="1" x14ac:dyDescent="0.25">
      <c r="A2824" t="s">
        <v>377</v>
      </c>
      <c r="B2824" t="s">
        <v>6</v>
      </c>
      <c r="C2824" t="s">
        <v>7</v>
      </c>
      <c r="D2824" t="s">
        <v>10</v>
      </c>
      <c r="E2824" s="2">
        <v>43336.424513888887</v>
      </c>
      <c r="F2824" t="s">
        <v>298</v>
      </c>
      <c r="G2824" t="s">
        <v>458</v>
      </c>
      <c r="H2824" t="s">
        <v>318</v>
      </c>
      <c r="I2824" t="s">
        <v>581</v>
      </c>
      <c r="J2824" t="s">
        <v>581</v>
      </c>
    </row>
    <row r="2825" spans="1:10" hidden="1" x14ac:dyDescent="0.25">
      <c r="A2825" t="s">
        <v>42</v>
      </c>
      <c r="B2825" t="s">
        <v>6</v>
      </c>
      <c r="C2825" t="s">
        <v>7</v>
      </c>
      <c r="D2825" t="s">
        <v>10</v>
      </c>
      <c r="E2825" s="2">
        <v>43336.424571759257</v>
      </c>
      <c r="F2825" t="s">
        <v>585</v>
      </c>
      <c r="G2825" t="s">
        <v>385</v>
      </c>
      <c r="H2825" t="s">
        <v>431</v>
      </c>
      <c r="I2825" t="s">
        <v>494</v>
      </c>
      <c r="J2825" t="s">
        <v>501</v>
      </c>
    </row>
    <row r="2826" spans="1:10" hidden="1" x14ac:dyDescent="0.25">
      <c r="A2826" t="s">
        <v>248</v>
      </c>
      <c r="B2826" t="s">
        <v>6</v>
      </c>
      <c r="C2826" t="s">
        <v>7</v>
      </c>
      <c r="D2826" t="s">
        <v>10</v>
      </c>
      <c r="E2826" s="2">
        <v>43336.42496527778</v>
      </c>
      <c r="F2826" t="s">
        <v>300</v>
      </c>
      <c r="G2826" t="s">
        <v>455</v>
      </c>
      <c r="H2826" t="s">
        <v>436</v>
      </c>
      <c r="I2826" t="s">
        <v>494</v>
      </c>
      <c r="J2826" t="s">
        <v>582</v>
      </c>
    </row>
    <row r="2827" spans="1:10" hidden="1" x14ac:dyDescent="0.25">
      <c r="A2827" t="s">
        <v>384</v>
      </c>
      <c r="B2827" t="s">
        <v>6</v>
      </c>
      <c r="C2827" t="s">
        <v>7</v>
      </c>
      <c r="D2827" t="s">
        <v>10</v>
      </c>
      <c r="E2827" s="2">
        <v>43336.425138888888</v>
      </c>
      <c r="F2827" t="s">
        <v>298</v>
      </c>
      <c r="G2827" t="s">
        <v>458</v>
      </c>
      <c r="H2827" t="s">
        <v>323</v>
      </c>
      <c r="I2827" t="s">
        <v>581</v>
      </c>
      <c r="J2827" t="s">
        <v>581</v>
      </c>
    </row>
    <row r="2828" spans="1:10" hidden="1" x14ac:dyDescent="0.25">
      <c r="A2828" t="s">
        <v>234</v>
      </c>
      <c r="B2828" t="s">
        <v>6</v>
      </c>
      <c r="C2828" t="s">
        <v>7</v>
      </c>
      <c r="D2828" t="s">
        <v>10</v>
      </c>
      <c r="E2828" s="2">
        <v>43336.425208333334</v>
      </c>
      <c r="F2828" t="s">
        <v>585</v>
      </c>
      <c r="G2828" t="s">
        <v>385</v>
      </c>
      <c r="H2828" t="s">
        <v>432</v>
      </c>
      <c r="I2828" t="s">
        <v>494</v>
      </c>
      <c r="J2828" t="s">
        <v>501</v>
      </c>
    </row>
    <row r="2829" spans="1:10" hidden="1" x14ac:dyDescent="0.25">
      <c r="A2829" t="s">
        <v>249</v>
      </c>
      <c r="B2829" t="s">
        <v>6</v>
      </c>
      <c r="C2829" t="s">
        <v>7</v>
      </c>
      <c r="D2829" t="s">
        <v>476</v>
      </c>
      <c r="E2829" s="2">
        <v>43336.425578703704</v>
      </c>
      <c r="F2829" t="s">
        <v>300</v>
      </c>
      <c r="G2829" t="s">
        <v>455</v>
      </c>
      <c r="H2829" t="s">
        <v>437</v>
      </c>
      <c r="I2829" t="s">
        <v>494</v>
      </c>
      <c r="J2829" t="s">
        <v>583</v>
      </c>
    </row>
    <row r="2830" spans="1:10" hidden="1" x14ac:dyDescent="0.25">
      <c r="A2830" t="s">
        <v>326</v>
      </c>
      <c r="B2830" t="s">
        <v>6</v>
      </c>
      <c r="C2830" t="s">
        <v>7</v>
      </c>
      <c r="D2830" t="s">
        <v>10</v>
      </c>
      <c r="E2830" s="2">
        <v>43336.425763888888</v>
      </c>
      <c r="F2830" t="s">
        <v>298</v>
      </c>
      <c r="G2830" t="s">
        <v>458</v>
      </c>
      <c r="H2830" t="s">
        <v>385</v>
      </c>
      <c r="I2830" t="s">
        <v>581</v>
      </c>
      <c r="J2830" t="s">
        <v>581</v>
      </c>
    </row>
    <row r="2831" spans="1:10" hidden="1" x14ac:dyDescent="0.25">
      <c r="A2831" t="s">
        <v>294</v>
      </c>
      <c r="B2831" t="s">
        <v>6</v>
      </c>
      <c r="C2831" t="s">
        <v>7</v>
      </c>
      <c r="D2831" t="s">
        <v>10</v>
      </c>
      <c r="E2831" s="2">
        <v>43336.425856481481</v>
      </c>
      <c r="F2831" t="s">
        <v>585</v>
      </c>
      <c r="G2831" t="s">
        <v>385</v>
      </c>
      <c r="H2831" t="s">
        <v>433</v>
      </c>
      <c r="I2831" t="s">
        <v>494</v>
      </c>
      <c r="J2831" t="s">
        <v>501</v>
      </c>
    </row>
    <row r="2832" spans="1:10" hidden="1" x14ac:dyDescent="0.25">
      <c r="A2832" t="s">
        <v>250</v>
      </c>
      <c r="B2832" t="s">
        <v>6</v>
      </c>
      <c r="C2832" t="s">
        <v>7</v>
      </c>
      <c r="D2832" t="s">
        <v>10</v>
      </c>
      <c r="E2832" s="2">
        <v>43336.426192129627</v>
      </c>
      <c r="F2832" t="s">
        <v>300</v>
      </c>
      <c r="G2832" t="s">
        <v>455</v>
      </c>
      <c r="H2832" t="s">
        <v>438</v>
      </c>
      <c r="I2832" t="s">
        <v>494</v>
      </c>
      <c r="J2832" t="s">
        <v>583</v>
      </c>
    </row>
    <row r="2833" spans="1:10" hidden="1" x14ac:dyDescent="0.25">
      <c r="A2833" t="s">
        <v>463</v>
      </c>
      <c r="B2833" t="s">
        <v>6</v>
      </c>
      <c r="C2833" t="s">
        <v>7</v>
      </c>
      <c r="D2833" t="s">
        <v>10</v>
      </c>
      <c r="E2833" s="2">
        <v>43336.426388888889</v>
      </c>
      <c r="F2833" t="s">
        <v>298</v>
      </c>
      <c r="G2833" t="s">
        <v>458</v>
      </c>
      <c r="H2833" t="s">
        <v>457</v>
      </c>
      <c r="I2833" t="s">
        <v>581</v>
      </c>
      <c r="J2833" t="s">
        <v>581</v>
      </c>
    </row>
    <row r="2834" spans="1:10" hidden="1" x14ac:dyDescent="0.25">
      <c r="A2834" t="s">
        <v>295</v>
      </c>
      <c r="B2834" t="s">
        <v>6</v>
      </c>
      <c r="C2834" t="s">
        <v>7</v>
      </c>
      <c r="D2834" t="s">
        <v>10</v>
      </c>
      <c r="E2834" s="2">
        <v>43336.426493055558</v>
      </c>
      <c r="F2834" t="s">
        <v>585</v>
      </c>
      <c r="G2834" t="s">
        <v>385</v>
      </c>
      <c r="H2834" t="s">
        <v>434</v>
      </c>
      <c r="I2834" t="s">
        <v>494</v>
      </c>
      <c r="J2834" t="s">
        <v>501</v>
      </c>
    </row>
    <row r="2835" spans="1:10" hidden="1" x14ac:dyDescent="0.25">
      <c r="A2835" t="s">
        <v>251</v>
      </c>
      <c r="B2835" t="s">
        <v>6</v>
      </c>
      <c r="C2835" t="s">
        <v>7</v>
      </c>
      <c r="D2835" t="s">
        <v>10</v>
      </c>
      <c r="E2835" s="2">
        <v>43336.426805555559</v>
      </c>
      <c r="F2835" t="s">
        <v>300</v>
      </c>
      <c r="G2835" t="s">
        <v>455</v>
      </c>
      <c r="H2835" t="s">
        <v>439</v>
      </c>
      <c r="I2835" t="s">
        <v>494</v>
      </c>
      <c r="J2835" t="s">
        <v>583</v>
      </c>
    </row>
    <row r="2836" spans="1:10" hidden="1" x14ac:dyDescent="0.25">
      <c r="A2836" t="s">
        <v>464</v>
      </c>
      <c r="B2836" t="s">
        <v>6</v>
      </c>
      <c r="C2836" t="s">
        <v>7</v>
      </c>
      <c r="D2836" t="s">
        <v>10</v>
      </c>
      <c r="E2836" s="2">
        <v>43336.427037037036</v>
      </c>
      <c r="F2836" t="s">
        <v>298</v>
      </c>
      <c r="G2836" t="s">
        <v>458</v>
      </c>
      <c r="H2836" t="s">
        <v>458</v>
      </c>
      <c r="I2836" t="s">
        <v>581</v>
      </c>
      <c r="J2836" t="s">
        <v>581</v>
      </c>
    </row>
    <row r="2837" spans="1:10" hidden="1" x14ac:dyDescent="0.25">
      <c r="A2837" t="s">
        <v>178</v>
      </c>
      <c r="B2837" t="s">
        <v>6</v>
      </c>
      <c r="C2837" t="s">
        <v>7</v>
      </c>
      <c r="D2837" t="s">
        <v>10</v>
      </c>
      <c r="E2837" s="2">
        <v>43336.427141203705</v>
      </c>
      <c r="F2837" t="s">
        <v>585</v>
      </c>
      <c r="G2837" t="s">
        <v>385</v>
      </c>
      <c r="H2837" t="s">
        <v>435</v>
      </c>
      <c r="I2837" t="s">
        <v>494</v>
      </c>
      <c r="J2837" t="s">
        <v>501</v>
      </c>
    </row>
    <row r="2838" spans="1:10" hidden="1" x14ac:dyDescent="0.25">
      <c r="A2838" t="s">
        <v>252</v>
      </c>
      <c r="B2838" t="s">
        <v>6</v>
      </c>
      <c r="C2838" t="s">
        <v>7</v>
      </c>
      <c r="D2838" t="s">
        <v>10</v>
      </c>
      <c r="E2838" s="2">
        <v>43336.427465277775</v>
      </c>
      <c r="F2838" t="s">
        <v>300</v>
      </c>
      <c r="G2838" t="s">
        <v>455</v>
      </c>
      <c r="H2838" t="s">
        <v>440</v>
      </c>
      <c r="I2838" t="s">
        <v>494</v>
      </c>
      <c r="J2838" t="s">
        <v>583</v>
      </c>
    </row>
    <row r="2839" spans="1:10" hidden="1" x14ac:dyDescent="0.25">
      <c r="A2839" t="s">
        <v>482</v>
      </c>
      <c r="B2839" t="s">
        <v>6</v>
      </c>
      <c r="C2839" t="s">
        <v>7</v>
      </c>
      <c r="D2839" t="s">
        <v>10</v>
      </c>
      <c r="E2839" s="2">
        <v>43336.427673611113</v>
      </c>
      <c r="F2839" t="s">
        <v>298</v>
      </c>
      <c r="G2839" t="s">
        <v>458</v>
      </c>
      <c r="H2839" t="s">
        <v>459</v>
      </c>
      <c r="I2839" t="s">
        <v>581</v>
      </c>
      <c r="J2839" t="s">
        <v>581</v>
      </c>
    </row>
    <row r="2840" spans="1:10" hidden="1" x14ac:dyDescent="0.25">
      <c r="A2840" t="s">
        <v>40</v>
      </c>
      <c r="B2840" t="s">
        <v>6</v>
      </c>
      <c r="C2840" t="s">
        <v>7</v>
      </c>
      <c r="D2840" t="s">
        <v>10</v>
      </c>
      <c r="E2840" s="2">
        <v>43336.427789351852</v>
      </c>
      <c r="F2840" t="s">
        <v>585</v>
      </c>
      <c r="G2840" t="s">
        <v>385</v>
      </c>
      <c r="H2840" t="s">
        <v>436</v>
      </c>
      <c r="I2840" t="s">
        <v>494</v>
      </c>
      <c r="J2840" t="s">
        <v>501</v>
      </c>
    </row>
    <row r="2841" spans="1:10" hidden="1" x14ac:dyDescent="0.25">
      <c r="A2841" t="s">
        <v>253</v>
      </c>
      <c r="B2841" t="s">
        <v>6</v>
      </c>
      <c r="C2841" t="s">
        <v>7</v>
      </c>
      <c r="D2841" t="s">
        <v>10</v>
      </c>
      <c r="E2841" s="2">
        <v>43336.428090277775</v>
      </c>
      <c r="F2841" t="s">
        <v>300</v>
      </c>
      <c r="G2841" t="s">
        <v>455</v>
      </c>
      <c r="H2841" t="s">
        <v>441</v>
      </c>
      <c r="I2841" t="s">
        <v>494</v>
      </c>
      <c r="J2841" t="s">
        <v>583</v>
      </c>
    </row>
    <row r="2842" spans="1:10" hidden="1" x14ac:dyDescent="0.25">
      <c r="A2842" t="s">
        <v>479</v>
      </c>
      <c r="B2842" t="s">
        <v>6</v>
      </c>
      <c r="C2842" t="s">
        <v>7</v>
      </c>
      <c r="D2842" t="s">
        <v>10</v>
      </c>
      <c r="E2842" s="2">
        <v>43336.428310185183</v>
      </c>
      <c r="F2842" t="s">
        <v>298</v>
      </c>
      <c r="G2842" t="s">
        <v>458</v>
      </c>
      <c r="H2842" t="s">
        <v>460</v>
      </c>
      <c r="I2842" t="s">
        <v>581</v>
      </c>
      <c r="J2842" t="s">
        <v>581</v>
      </c>
    </row>
    <row r="2843" spans="1:10" hidden="1" x14ac:dyDescent="0.25">
      <c r="A2843" t="s">
        <v>149</v>
      </c>
      <c r="B2843" t="s">
        <v>6</v>
      </c>
      <c r="C2843" t="s">
        <v>7</v>
      </c>
      <c r="D2843" t="s">
        <v>10</v>
      </c>
      <c r="E2843" s="2">
        <v>43336.428449074076</v>
      </c>
      <c r="F2843" t="s">
        <v>585</v>
      </c>
      <c r="G2843" t="s">
        <v>385</v>
      </c>
      <c r="H2843" t="s">
        <v>437</v>
      </c>
      <c r="I2843" t="s">
        <v>494</v>
      </c>
      <c r="J2843" t="s">
        <v>501</v>
      </c>
    </row>
    <row r="2844" spans="1:10" hidden="1" x14ac:dyDescent="0.25">
      <c r="A2844" t="s">
        <v>254</v>
      </c>
      <c r="B2844" t="s">
        <v>6</v>
      </c>
      <c r="C2844" t="s">
        <v>7</v>
      </c>
      <c r="D2844" t="s">
        <v>476</v>
      </c>
      <c r="E2844" s="2">
        <v>43336.428703703707</v>
      </c>
      <c r="F2844" t="s">
        <v>300</v>
      </c>
      <c r="G2844" t="s">
        <v>455</v>
      </c>
      <c r="H2844" t="s">
        <v>442</v>
      </c>
      <c r="I2844" t="s">
        <v>494</v>
      </c>
      <c r="J2844" t="s">
        <v>583</v>
      </c>
    </row>
    <row r="2845" spans="1:10" hidden="1" x14ac:dyDescent="0.25">
      <c r="A2845" t="s">
        <v>381</v>
      </c>
      <c r="B2845" t="s">
        <v>6</v>
      </c>
      <c r="C2845" t="s">
        <v>7</v>
      </c>
      <c r="D2845" t="s">
        <v>10</v>
      </c>
      <c r="E2845" s="2">
        <v>43336.428935185184</v>
      </c>
      <c r="F2845" t="s">
        <v>298</v>
      </c>
      <c r="G2845" t="s">
        <v>458</v>
      </c>
      <c r="H2845" t="s">
        <v>461</v>
      </c>
      <c r="I2845" t="s">
        <v>581</v>
      </c>
      <c r="J2845" t="s">
        <v>581</v>
      </c>
    </row>
    <row r="2846" spans="1:10" hidden="1" x14ac:dyDescent="0.25">
      <c r="A2846" t="s">
        <v>176</v>
      </c>
      <c r="B2846" t="s">
        <v>6</v>
      </c>
      <c r="C2846" t="s">
        <v>7</v>
      </c>
      <c r="D2846" t="s">
        <v>10</v>
      </c>
      <c r="E2846" s="2">
        <v>43336.429085648146</v>
      </c>
      <c r="F2846" t="s">
        <v>585</v>
      </c>
      <c r="G2846" t="s">
        <v>385</v>
      </c>
      <c r="H2846" t="s">
        <v>438</v>
      </c>
      <c r="I2846" t="s">
        <v>494</v>
      </c>
      <c r="J2846" t="s">
        <v>495</v>
      </c>
    </row>
    <row r="2847" spans="1:10" hidden="1" x14ac:dyDescent="0.25">
      <c r="A2847" t="s">
        <v>255</v>
      </c>
      <c r="B2847" t="s">
        <v>6</v>
      </c>
      <c r="C2847" t="s">
        <v>7</v>
      </c>
      <c r="D2847" t="s">
        <v>10</v>
      </c>
      <c r="E2847" s="2">
        <v>43336.429444444446</v>
      </c>
      <c r="F2847" t="s">
        <v>300</v>
      </c>
      <c r="G2847" t="s">
        <v>455</v>
      </c>
      <c r="H2847" t="s">
        <v>443</v>
      </c>
      <c r="I2847" t="s">
        <v>494</v>
      </c>
      <c r="J2847" t="s">
        <v>583</v>
      </c>
    </row>
    <row r="2848" spans="1:10" hidden="1" x14ac:dyDescent="0.25">
      <c r="A2848" t="s">
        <v>415</v>
      </c>
      <c r="B2848" t="s">
        <v>6</v>
      </c>
      <c r="C2848" t="s">
        <v>7</v>
      </c>
      <c r="D2848" t="s">
        <v>10</v>
      </c>
      <c r="E2848" s="2">
        <v>43336.429560185185</v>
      </c>
      <c r="F2848" t="s">
        <v>298</v>
      </c>
      <c r="G2848" t="s">
        <v>458</v>
      </c>
      <c r="H2848" t="s">
        <v>462</v>
      </c>
      <c r="I2848" t="s">
        <v>581</v>
      </c>
      <c r="J2848" t="s">
        <v>581</v>
      </c>
    </row>
    <row r="2849" spans="1:10" hidden="1" x14ac:dyDescent="0.25">
      <c r="A2849" t="s">
        <v>39</v>
      </c>
      <c r="B2849" t="s">
        <v>6</v>
      </c>
      <c r="C2849" t="s">
        <v>7</v>
      </c>
      <c r="D2849" t="s">
        <v>10</v>
      </c>
      <c r="E2849" s="2">
        <v>43336.429745370369</v>
      </c>
      <c r="F2849" t="s">
        <v>585</v>
      </c>
      <c r="G2849" t="s">
        <v>385</v>
      </c>
      <c r="H2849" t="s">
        <v>439</v>
      </c>
      <c r="I2849" t="s">
        <v>494</v>
      </c>
      <c r="J2849" t="s">
        <v>495</v>
      </c>
    </row>
    <row r="2850" spans="1:10" hidden="1" x14ac:dyDescent="0.25">
      <c r="A2850" t="s">
        <v>244</v>
      </c>
      <c r="B2850" t="s">
        <v>6</v>
      </c>
      <c r="C2850" t="s">
        <v>7</v>
      </c>
      <c r="D2850" t="s">
        <v>10</v>
      </c>
      <c r="E2850" s="2">
        <v>43336.43005787037</v>
      </c>
      <c r="F2850" t="s">
        <v>300</v>
      </c>
      <c r="G2850" t="s">
        <v>455</v>
      </c>
      <c r="H2850" t="s">
        <v>444</v>
      </c>
      <c r="I2850" t="s">
        <v>494</v>
      </c>
      <c r="J2850" t="s">
        <v>583</v>
      </c>
    </row>
    <row r="2851" spans="1:10" hidden="1" x14ac:dyDescent="0.25">
      <c r="A2851" t="s">
        <v>15</v>
      </c>
      <c r="B2851" t="s">
        <v>6</v>
      </c>
      <c r="C2851" t="s">
        <v>7</v>
      </c>
      <c r="D2851" t="s">
        <v>27</v>
      </c>
      <c r="E2851" s="2">
        <v>43336.430381944447</v>
      </c>
      <c r="F2851" t="s">
        <v>298</v>
      </c>
      <c r="G2851" t="s">
        <v>458</v>
      </c>
      <c r="H2851" t="s">
        <v>453</v>
      </c>
      <c r="I2851" t="s">
        <v>541</v>
      </c>
      <c r="J2851" t="s">
        <v>542</v>
      </c>
    </row>
    <row r="2852" spans="1:10" hidden="1" x14ac:dyDescent="0.25">
      <c r="A2852" t="s">
        <v>144</v>
      </c>
      <c r="B2852" t="s">
        <v>6</v>
      </c>
      <c r="C2852" t="s">
        <v>7</v>
      </c>
      <c r="D2852" t="s">
        <v>10</v>
      </c>
      <c r="E2852" s="2">
        <v>43336.430393518516</v>
      </c>
      <c r="F2852" t="s">
        <v>585</v>
      </c>
      <c r="G2852" t="s">
        <v>385</v>
      </c>
      <c r="H2852" t="s">
        <v>440</v>
      </c>
      <c r="I2852" t="s">
        <v>494</v>
      </c>
      <c r="J2852" t="s">
        <v>495</v>
      </c>
    </row>
    <row r="2853" spans="1:10" hidden="1" x14ac:dyDescent="0.25">
      <c r="A2853" t="s">
        <v>256</v>
      </c>
      <c r="B2853" t="s">
        <v>6</v>
      </c>
      <c r="C2853" t="s">
        <v>7</v>
      </c>
      <c r="D2853" t="s">
        <v>10</v>
      </c>
      <c r="E2853" s="2">
        <v>43336.43068287037</v>
      </c>
      <c r="F2853" t="s">
        <v>300</v>
      </c>
      <c r="G2853" t="s">
        <v>455</v>
      </c>
      <c r="H2853" t="s">
        <v>445</v>
      </c>
      <c r="I2853" t="s">
        <v>494</v>
      </c>
      <c r="J2853" t="s">
        <v>583</v>
      </c>
    </row>
    <row r="2854" spans="1:10" hidden="1" x14ac:dyDescent="0.25">
      <c r="A2854" t="s">
        <v>159</v>
      </c>
      <c r="B2854" t="s">
        <v>6</v>
      </c>
      <c r="C2854" t="s">
        <v>7</v>
      </c>
      <c r="D2854" t="s">
        <v>10</v>
      </c>
      <c r="E2854" s="2">
        <v>43336.431006944447</v>
      </c>
      <c r="F2854" t="s">
        <v>298</v>
      </c>
      <c r="G2854" t="s">
        <v>458</v>
      </c>
      <c r="H2854" t="s">
        <v>454</v>
      </c>
      <c r="I2854" t="s">
        <v>492</v>
      </c>
      <c r="J2854" t="s">
        <v>493</v>
      </c>
    </row>
    <row r="2855" spans="1:10" hidden="1" x14ac:dyDescent="0.25">
      <c r="A2855" t="s">
        <v>38</v>
      </c>
      <c r="B2855" t="s">
        <v>6</v>
      </c>
      <c r="C2855" t="s">
        <v>7</v>
      </c>
      <c r="D2855" t="s">
        <v>10</v>
      </c>
      <c r="E2855" s="2">
        <v>43336.431030092594</v>
      </c>
      <c r="F2855" t="s">
        <v>585</v>
      </c>
      <c r="G2855" t="s">
        <v>385</v>
      </c>
      <c r="H2855" t="s">
        <v>441</v>
      </c>
      <c r="I2855" t="s">
        <v>494</v>
      </c>
      <c r="J2855" t="s">
        <v>495</v>
      </c>
    </row>
    <row r="2856" spans="1:10" hidden="1" x14ac:dyDescent="0.25">
      <c r="A2856" t="s">
        <v>257</v>
      </c>
      <c r="B2856" t="s">
        <v>6</v>
      </c>
      <c r="C2856" t="s">
        <v>7</v>
      </c>
      <c r="D2856" t="s">
        <v>10</v>
      </c>
      <c r="E2856" s="2">
        <v>43336.431296296294</v>
      </c>
      <c r="F2856" t="s">
        <v>300</v>
      </c>
      <c r="G2856" t="s">
        <v>455</v>
      </c>
      <c r="H2856" t="s">
        <v>446</v>
      </c>
      <c r="I2856" t="s">
        <v>584</v>
      </c>
      <c r="J285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1"/>
  <dimension ref="A1:G407"/>
  <sheetViews>
    <sheetView workbookViewId="0">
      <selection sqref="A1:A1048576"/>
    </sheetView>
  </sheetViews>
  <sheetFormatPr defaultRowHeight="15" x14ac:dyDescent="0.25"/>
  <cols>
    <col min="1" max="1" width="17.5703125" bestFit="1" customWidth="1"/>
    <col min="2" max="2" width="12.28515625" customWidth="1"/>
    <col min="3" max="3" width="10.28515625" customWidth="1"/>
    <col min="4" max="4" width="21.42578125" customWidth="1"/>
    <col min="5" max="5" width="15.85546875" customWidth="1"/>
    <col min="6" max="6" width="27.85546875" bestFit="1" customWidth="1"/>
    <col min="7" max="7" width="29.85546875" bestFit="1" customWidth="1"/>
    <col min="8" max="8" width="8.42578125" bestFit="1" customWidth="1"/>
    <col min="9" max="9" width="13.7109375" bestFit="1" customWidth="1"/>
    <col min="10" max="10" width="18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hidden="1" x14ac:dyDescent="0.25">
      <c r="A2" t="s">
        <v>162</v>
      </c>
      <c r="B2" t="s">
        <v>306</v>
      </c>
      <c r="C2" t="s">
        <v>306</v>
      </c>
      <c r="D2" t="s">
        <v>307</v>
      </c>
      <c r="E2" s="2">
        <v>43336.410115740742</v>
      </c>
      <c r="F2" s="2" t="s">
        <v>492</v>
      </c>
      <c r="G2" s="2" t="s">
        <v>493</v>
      </c>
    </row>
    <row r="3" spans="1:7" hidden="1" x14ac:dyDescent="0.25">
      <c r="A3" t="s">
        <v>218</v>
      </c>
      <c r="B3" t="s">
        <v>306</v>
      </c>
      <c r="C3" t="s">
        <v>306</v>
      </c>
      <c r="D3" t="s">
        <v>307</v>
      </c>
      <c r="E3" s="2">
        <v>43336.407314814816</v>
      </c>
      <c r="F3" s="2" t="s">
        <v>492</v>
      </c>
      <c r="G3" s="2" t="s">
        <v>493</v>
      </c>
    </row>
    <row r="4" spans="1:7" hidden="1" x14ac:dyDescent="0.25">
      <c r="A4" t="s">
        <v>289</v>
      </c>
      <c r="B4" t="s">
        <v>6</v>
      </c>
      <c r="C4" t="s">
        <v>7</v>
      </c>
      <c r="D4" t="s">
        <v>10</v>
      </c>
      <c r="E4" s="2">
        <v>43336.406331018516</v>
      </c>
      <c r="F4" s="2" t="s">
        <v>494</v>
      </c>
      <c r="G4" s="2" t="s">
        <v>501</v>
      </c>
    </row>
    <row r="5" spans="1:7" hidden="1" x14ac:dyDescent="0.25">
      <c r="A5" t="s">
        <v>44</v>
      </c>
      <c r="B5" t="s">
        <v>6</v>
      </c>
      <c r="C5" t="s">
        <v>7</v>
      </c>
      <c r="D5" t="s">
        <v>10</v>
      </c>
      <c r="E5" s="2">
        <v>43336.406041666669</v>
      </c>
      <c r="F5" s="2" t="s">
        <v>494</v>
      </c>
      <c r="G5" s="2" t="s">
        <v>501</v>
      </c>
    </row>
    <row r="6" spans="1:7" hidden="1" x14ac:dyDescent="0.25">
      <c r="A6" t="s">
        <v>139</v>
      </c>
      <c r="B6" t="s">
        <v>6</v>
      </c>
      <c r="C6" t="s">
        <v>7</v>
      </c>
      <c r="D6" t="s">
        <v>10</v>
      </c>
      <c r="E6" s="2">
        <v>43336.405706018515</v>
      </c>
      <c r="F6" s="2" t="s">
        <v>494</v>
      </c>
      <c r="G6" s="2" t="s">
        <v>501</v>
      </c>
    </row>
    <row r="7" spans="1:7" hidden="1" x14ac:dyDescent="0.25">
      <c r="A7" t="s">
        <v>293</v>
      </c>
      <c r="B7" t="s">
        <v>6</v>
      </c>
      <c r="C7" t="s">
        <v>7</v>
      </c>
      <c r="D7" t="s">
        <v>10</v>
      </c>
      <c r="E7" s="2">
        <v>43336.405405092592</v>
      </c>
      <c r="F7" s="2" t="s">
        <v>494</v>
      </c>
      <c r="G7" s="2" t="s">
        <v>501</v>
      </c>
    </row>
    <row r="8" spans="1:7" hidden="1" x14ac:dyDescent="0.25">
      <c r="A8" t="s">
        <v>288</v>
      </c>
      <c r="B8" t="s">
        <v>6</v>
      </c>
      <c r="C8" t="s">
        <v>7</v>
      </c>
      <c r="D8" t="s">
        <v>10</v>
      </c>
      <c r="E8" s="2">
        <v>43336.405081018522</v>
      </c>
      <c r="F8" s="2" t="s">
        <v>494</v>
      </c>
      <c r="G8" s="2" t="s">
        <v>501</v>
      </c>
    </row>
    <row r="9" spans="1:7" hidden="1" x14ac:dyDescent="0.25">
      <c r="A9" t="s">
        <v>49</v>
      </c>
      <c r="B9" t="s">
        <v>6</v>
      </c>
      <c r="C9" t="s">
        <v>7</v>
      </c>
      <c r="D9" t="s">
        <v>10</v>
      </c>
      <c r="E9" s="2">
        <v>43336.404780092591</v>
      </c>
      <c r="F9" s="2" t="s">
        <v>533</v>
      </c>
      <c r="G9" s="2" t="s">
        <v>543</v>
      </c>
    </row>
    <row r="10" spans="1:7" hidden="1" x14ac:dyDescent="0.25">
      <c r="A10" t="s">
        <v>170</v>
      </c>
      <c r="B10" t="s">
        <v>6</v>
      </c>
      <c r="C10" t="s">
        <v>7</v>
      </c>
      <c r="D10" t="s">
        <v>10</v>
      </c>
      <c r="E10" s="2">
        <v>43336.404768518521</v>
      </c>
      <c r="F10" s="2" t="s">
        <v>494</v>
      </c>
      <c r="G10" s="2" t="s">
        <v>501</v>
      </c>
    </row>
    <row r="11" spans="1:7" hidden="1" x14ac:dyDescent="0.25">
      <c r="A11" t="s">
        <v>163</v>
      </c>
      <c r="B11" t="s">
        <v>306</v>
      </c>
      <c r="C11" t="s">
        <v>306</v>
      </c>
      <c r="D11" t="s">
        <v>307</v>
      </c>
      <c r="E11" s="2">
        <v>43336.40452546296</v>
      </c>
      <c r="F11" s="2" t="s">
        <v>492</v>
      </c>
      <c r="G11" s="2" t="s">
        <v>493</v>
      </c>
    </row>
    <row r="12" spans="1:7" hidden="1" x14ac:dyDescent="0.25">
      <c r="A12" t="s">
        <v>175</v>
      </c>
      <c r="B12" t="s">
        <v>6</v>
      </c>
      <c r="C12" t="s">
        <v>7</v>
      </c>
      <c r="D12" t="s">
        <v>10</v>
      </c>
      <c r="E12" s="2">
        <v>43336.404444444444</v>
      </c>
      <c r="F12" s="2" t="s">
        <v>494</v>
      </c>
      <c r="G12" s="2" t="s">
        <v>501</v>
      </c>
    </row>
    <row r="13" spans="1:7" hidden="1" x14ac:dyDescent="0.25">
      <c r="A13" t="s">
        <v>50</v>
      </c>
      <c r="B13" t="s">
        <v>6</v>
      </c>
      <c r="C13" t="s">
        <v>7</v>
      </c>
      <c r="D13" t="s">
        <v>10</v>
      </c>
      <c r="E13" s="2">
        <v>43336.40415509259</v>
      </c>
      <c r="F13" s="2" t="s">
        <v>533</v>
      </c>
      <c r="G13" s="2" t="s">
        <v>543</v>
      </c>
    </row>
    <row r="14" spans="1:7" hidden="1" x14ac:dyDescent="0.25">
      <c r="A14" t="s">
        <v>292</v>
      </c>
      <c r="B14" t="s">
        <v>6</v>
      </c>
      <c r="C14" t="s">
        <v>7</v>
      </c>
      <c r="D14" t="s">
        <v>10</v>
      </c>
      <c r="E14" s="2">
        <v>43336.404131944444</v>
      </c>
      <c r="F14" s="2" t="s">
        <v>494</v>
      </c>
      <c r="G14" s="2" t="s">
        <v>501</v>
      </c>
    </row>
    <row r="15" spans="1:7" hidden="1" x14ac:dyDescent="0.25">
      <c r="A15" t="s">
        <v>185</v>
      </c>
      <c r="B15" t="s">
        <v>6</v>
      </c>
      <c r="C15" t="s">
        <v>7</v>
      </c>
      <c r="D15" t="s">
        <v>10</v>
      </c>
      <c r="E15" s="2">
        <v>43336.403796296298</v>
      </c>
      <c r="F15" s="2" t="s">
        <v>494</v>
      </c>
      <c r="G15" s="2" t="s">
        <v>501</v>
      </c>
    </row>
    <row r="16" spans="1:7" hidden="1" x14ac:dyDescent="0.25">
      <c r="A16" t="s">
        <v>291</v>
      </c>
      <c r="B16" t="s">
        <v>6</v>
      </c>
      <c r="C16" t="s">
        <v>7</v>
      </c>
      <c r="D16" t="s">
        <v>10</v>
      </c>
      <c r="E16" s="2">
        <v>43336.403321759259</v>
      </c>
      <c r="F16" s="2" t="s">
        <v>494</v>
      </c>
      <c r="G16" s="2" t="s">
        <v>501</v>
      </c>
    </row>
    <row r="17" spans="1:7" hidden="1" x14ac:dyDescent="0.25">
      <c r="A17" t="s">
        <v>287</v>
      </c>
      <c r="B17" t="s">
        <v>6</v>
      </c>
      <c r="C17" t="s">
        <v>7</v>
      </c>
      <c r="D17" t="s">
        <v>10</v>
      </c>
      <c r="E17" s="2">
        <v>43336.403171296297</v>
      </c>
      <c r="F17" s="2" t="s">
        <v>494</v>
      </c>
      <c r="G17" s="2" t="s">
        <v>501</v>
      </c>
    </row>
    <row r="18" spans="1:7" hidden="1" x14ac:dyDescent="0.25">
      <c r="A18" t="s">
        <v>106</v>
      </c>
      <c r="B18" t="s">
        <v>6</v>
      </c>
      <c r="C18" t="s">
        <v>7</v>
      </c>
      <c r="D18" t="s">
        <v>10</v>
      </c>
      <c r="E18" s="2">
        <v>43336.403101851851</v>
      </c>
      <c r="F18" s="2" t="s">
        <v>533</v>
      </c>
      <c r="G18" s="2" t="s">
        <v>543</v>
      </c>
    </row>
    <row r="19" spans="1:7" hidden="1" x14ac:dyDescent="0.25">
      <c r="A19" t="s">
        <v>146</v>
      </c>
      <c r="B19" t="s">
        <v>6</v>
      </c>
      <c r="C19" t="s">
        <v>7</v>
      </c>
      <c r="D19" t="s">
        <v>10</v>
      </c>
      <c r="E19" s="2">
        <v>43336.402696759258</v>
      </c>
      <c r="F19" s="2" t="s">
        <v>494</v>
      </c>
      <c r="G19" s="2" t="s">
        <v>501</v>
      </c>
    </row>
    <row r="20" spans="1:7" hidden="1" x14ac:dyDescent="0.25">
      <c r="A20" t="s">
        <v>177</v>
      </c>
      <c r="B20" t="s">
        <v>6</v>
      </c>
      <c r="C20" t="s">
        <v>7</v>
      </c>
      <c r="D20" t="s">
        <v>10</v>
      </c>
      <c r="E20" s="2">
        <v>43336.40253472222</v>
      </c>
      <c r="F20" s="2" t="s">
        <v>494</v>
      </c>
      <c r="G20" s="2" t="s">
        <v>501</v>
      </c>
    </row>
    <row r="21" spans="1:7" hidden="1" x14ac:dyDescent="0.25">
      <c r="A21" t="s">
        <v>90</v>
      </c>
      <c r="B21" t="s">
        <v>6</v>
      </c>
      <c r="C21" t="s">
        <v>7</v>
      </c>
      <c r="D21" t="s">
        <v>10</v>
      </c>
      <c r="E21" s="2">
        <v>43336.40247685185</v>
      </c>
      <c r="F21" s="2" t="s">
        <v>533</v>
      </c>
      <c r="G21" s="2" t="s">
        <v>543</v>
      </c>
    </row>
    <row r="22" spans="1:7" hidden="1" x14ac:dyDescent="0.25">
      <c r="A22" t="s">
        <v>45</v>
      </c>
      <c r="B22" t="s">
        <v>6</v>
      </c>
      <c r="C22" t="s">
        <v>7</v>
      </c>
      <c r="D22" t="s">
        <v>10</v>
      </c>
      <c r="E22" s="2">
        <v>43336.402060185188</v>
      </c>
      <c r="F22" s="2" t="s">
        <v>494</v>
      </c>
      <c r="G22" s="2" t="s">
        <v>501</v>
      </c>
    </row>
    <row r="23" spans="1:7" hidden="1" x14ac:dyDescent="0.25">
      <c r="A23" t="s">
        <v>179</v>
      </c>
      <c r="B23" t="s">
        <v>6</v>
      </c>
      <c r="C23" t="s">
        <v>7</v>
      </c>
      <c r="D23" t="s">
        <v>10</v>
      </c>
      <c r="E23" s="2">
        <v>43336.401898148149</v>
      </c>
      <c r="F23" s="2" t="s">
        <v>494</v>
      </c>
      <c r="G23" s="2" t="s">
        <v>501</v>
      </c>
    </row>
    <row r="24" spans="1:7" hidden="1" x14ac:dyDescent="0.25">
      <c r="A24" t="s">
        <v>51</v>
      </c>
      <c r="B24" t="s">
        <v>6</v>
      </c>
      <c r="C24" t="s">
        <v>7</v>
      </c>
      <c r="D24" t="s">
        <v>10</v>
      </c>
      <c r="E24" s="2">
        <v>43336.40185185185</v>
      </c>
      <c r="F24" s="2" t="s">
        <v>533</v>
      </c>
      <c r="G24" s="2" t="s">
        <v>543</v>
      </c>
    </row>
    <row r="25" spans="1:7" hidden="1" x14ac:dyDescent="0.25">
      <c r="A25" t="s">
        <v>168</v>
      </c>
      <c r="B25" t="s">
        <v>306</v>
      </c>
      <c r="C25" t="s">
        <v>306</v>
      </c>
      <c r="D25" t="s">
        <v>307</v>
      </c>
      <c r="E25" s="2">
        <v>43336.401736111111</v>
      </c>
      <c r="F25" s="2" t="s">
        <v>492</v>
      </c>
      <c r="G25" s="2" t="s">
        <v>500</v>
      </c>
    </row>
    <row r="26" spans="1:7" hidden="1" x14ac:dyDescent="0.25">
      <c r="A26" t="s">
        <v>47</v>
      </c>
      <c r="B26" t="s">
        <v>6</v>
      </c>
      <c r="C26" t="s">
        <v>7</v>
      </c>
      <c r="D26" t="s">
        <v>10</v>
      </c>
      <c r="E26" s="2">
        <v>43336.401435185187</v>
      </c>
      <c r="F26" s="2" t="s">
        <v>494</v>
      </c>
      <c r="G26" s="2" t="s">
        <v>501</v>
      </c>
    </row>
    <row r="27" spans="1:7" hidden="1" x14ac:dyDescent="0.25">
      <c r="A27" t="s">
        <v>209</v>
      </c>
      <c r="B27" t="s">
        <v>6</v>
      </c>
      <c r="C27" t="s">
        <v>7</v>
      </c>
      <c r="D27" t="s">
        <v>10</v>
      </c>
      <c r="E27" s="2">
        <v>43336.401273148149</v>
      </c>
      <c r="F27" s="2" t="s">
        <v>494</v>
      </c>
      <c r="G27" s="2" t="s">
        <v>501</v>
      </c>
    </row>
    <row r="28" spans="1:7" hidden="1" x14ac:dyDescent="0.25">
      <c r="A28" t="s">
        <v>52</v>
      </c>
      <c r="B28" t="s">
        <v>6</v>
      </c>
      <c r="C28" t="s">
        <v>7</v>
      </c>
      <c r="D28" t="s">
        <v>10</v>
      </c>
      <c r="E28" s="2">
        <v>43336.401238425926</v>
      </c>
      <c r="F28" s="2" t="s">
        <v>533</v>
      </c>
      <c r="G28" s="2" t="s">
        <v>543</v>
      </c>
    </row>
    <row r="29" spans="1:7" hidden="1" x14ac:dyDescent="0.25">
      <c r="A29" t="s">
        <v>191</v>
      </c>
      <c r="B29" t="s">
        <v>6</v>
      </c>
      <c r="C29" t="s">
        <v>7</v>
      </c>
      <c r="D29" t="s">
        <v>10</v>
      </c>
      <c r="E29" s="2">
        <v>43336.400821759256</v>
      </c>
      <c r="F29" s="2" t="s">
        <v>494</v>
      </c>
      <c r="G29" s="2" t="s">
        <v>501</v>
      </c>
    </row>
    <row r="30" spans="1:7" hidden="1" x14ac:dyDescent="0.25">
      <c r="A30" t="s">
        <v>210</v>
      </c>
      <c r="B30" t="s">
        <v>6</v>
      </c>
      <c r="C30" t="s">
        <v>7</v>
      </c>
      <c r="D30" t="s">
        <v>27</v>
      </c>
      <c r="E30" s="2">
        <v>43336.400636574072</v>
      </c>
      <c r="F30" s="2" t="s">
        <v>494</v>
      </c>
      <c r="G30" s="2" t="s">
        <v>501</v>
      </c>
    </row>
    <row r="31" spans="1:7" hidden="1" x14ac:dyDescent="0.25">
      <c r="A31" t="s">
        <v>70</v>
      </c>
      <c r="B31" t="s">
        <v>6</v>
      </c>
      <c r="C31" t="s">
        <v>7</v>
      </c>
      <c r="D31" t="s">
        <v>10</v>
      </c>
      <c r="E31" s="2">
        <v>43336.400613425925</v>
      </c>
      <c r="F31" s="2" t="s">
        <v>533</v>
      </c>
      <c r="G31" s="2" t="s">
        <v>543</v>
      </c>
    </row>
    <row r="32" spans="1:7" hidden="1" x14ac:dyDescent="0.25">
      <c r="A32" t="s">
        <v>48</v>
      </c>
      <c r="B32" t="s">
        <v>6</v>
      </c>
      <c r="C32" t="s">
        <v>7</v>
      </c>
      <c r="D32" t="s">
        <v>10</v>
      </c>
      <c r="E32" s="2">
        <v>43336.400208333333</v>
      </c>
      <c r="F32" s="2" t="s">
        <v>494</v>
      </c>
      <c r="G32" s="2" t="s">
        <v>501</v>
      </c>
    </row>
    <row r="33" spans="1:7" hidden="1" x14ac:dyDescent="0.25">
      <c r="A33" t="s">
        <v>156</v>
      </c>
      <c r="B33" t="s">
        <v>6</v>
      </c>
      <c r="C33" t="s">
        <v>7</v>
      </c>
      <c r="D33" t="s">
        <v>476</v>
      </c>
      <c r="E33" s="2">
        <v>43336.4</v>
      </c>
      <c r="F33" s="2" t="s">
        <v>533</v>
      </c>
      <c r="G33" s="2" t="s">
        <v>543</v>
      </c>
    </row>
    <row r="34" spans="1:7" hidden="1" x14ac:dyDescent="0.25">
      <c r="A34" t="s">
        <v>127</v>
      </c>
      <c r="B34" t="s">
        <v>6</v>
      </c>
      <c r="C34" t="s">
        <v>7</v>
      </c>
      <c r="D34" t="s">
        <v>10</v>
      </c>
      <c r="E34" s="2">
        <v>43336.39984953704</v>
      </c>
      <c r="F34" s="2" t="s">
        <v>494</v>
      </c>
      <c r="G34" s="2" t="s">
        <v>501</v>
      </c>
    </row>
    <row r="35" spans="1:7" hidden="1" x14ac:dyDescent="0.25">
      <c r="A35" t="s">
        <v>206</v>
      </c>
      <c r="B35" t="s">
        <v>6</v>
      </c>
      <c r="C35" t="s">
        <v>7</v>
      </c>
      <c r="D35" t="s">
        <v>10</v>
      </c>
      <c r="E35" s="2">
        <v>43336.399571759262</v>
      </c>
      <c r="F35" s="2" t="s">
        <v>494</v>
      </c>
      <c r="G35" s="2" t="s">
        <v>501</v>
      </c>
    </row>
    <row r="36" spans="1:7" hidden="1" x14ac:dyDescent="0.25">
      <c r="A36" t="s">
        <v>53</v>
      </c>
      <c r="B36" t="s">
        <v>6</v>
      </c>
      <c r="C36" t="s">
        <v>7</v>
      </c>
      <c r="D36" t="s">
        <v>476</v>
      </c>
      <c r="E36" s="2">
        <v>43336.399386574078</v>
      </c>
      <c r="F36" s="2" t="s">
        <v>533</v>
      </c>
      <c r="G36" s="2" t="s">
        <v>543</v>
      </c>
    </row>
    <row r="37" spans="1:7" hidden="1" x14ac:dyDescent="0.25">
      <c r="A37" t="s">
        <v>141</v>
      </c>
      <c r="B37" t="s">
        <v>6</v>
      </c>
      <c r="C37" t="s">
        <v>7</v>
      </c>
      <c r="D37" t="s">
        <v>10</v>
      </c>
      <c r="E37" s="2">
        <v>43336.399212962962</v>
      </c>
      <c r="F37" s="2" t="s">
        <v>494</v>
      </c>
      <c r="G37" s="2" t="s">
        <v>501</v>
      </c>
    </row>
    <row r="38" spans="1:7" hidden="1" x14ac:dyDescent="0.25">
      <c r="A38" t="s">
        <v>143</v>
      </c>
      <c r="B38" t="s">
        <v>6</v>
      </c>
      <c r="C38" t="s">
        <v>7</v>
      </c>
      <c r="D38" t="s">
        <v>10</v>
      </c>
      <c r="E38" s="2">
        <v>43336.398969907408</v>
      </c>
      <c r="F38" s="2" t="s">
        <v>494</v>
      </c>
      <c r="G38" s="2" t="s">
        <v>501</v>
      </c>
    </row>
    <row r="39" spans="1:7" hidden="1" x14ac:dyDescent="0.25">
      <c r="A39" t="s">
        <v>164</v>
      </c>
      <c r="B39" t="s">
        <v>306</v>
      </c>
      <c r="C39" t="s">
        <v>306</v>
      </c>
      <c r="D39" t="s">
        <v>307</v>
      </c>
      <c r="E39" s="2">
        <v>43336.398946759262</v>
      </c>
      <c r="F39" s="2" t="s">
        <v>492</v>
      </c>
      <c r="G39" s="2" t="s">
        <v>493</v>
      </c>
    </row>
    <row r="40" spans="1:7" hidden="1" x14ac:dyDescent="0.25">
      <c r="A40" t="s">
        <v>61</v>
      </c>
      <c r="B40" t="s">
        <v>6</v>
      </c>
      <c r="C40" t="s">
        <v>7</v>
      </c>
      <c r="D40" t="s">
        <v>476</v>
      </c>
      <c r="E40" s="2">
        <v>43336.398784722223</v>
      </c>
      <c r="F40" s="2" t="s">
        <v>533</v>
      </c>
      <c r="G40" s="2" t="s">
        <v>543</v>
      </c>
    </row>
    <row r="41" spans="1:7" hidden="1" x14ac:dyDescent="0.25">
      <c r="A41" t="s">
        <v>211</v>
      </c>
      <c r="B41" t="s">
        <v>6</v>
      </c>
      <c r="C41" t="s">
        <v>7</v>
      </c>
      <c r="D41" t="s">
        <v>10</v>
      </c>
      <c r="E41" s="2">
        <v>43336.398587962962</v>
      </c>
      <c r="F41" s="2" t="s">
        <v>494</v>
      </c>
      <c r="G41" s="2" t="s">
        <v>501</v>
      </c>
    </row>
    <row r="42" spans="1:7" hidden="1" x14ac:dyDescent="0.25">
      <c r="A42" t="s">
        <v>137</v>
      </c>
      <c r="B42" t="s">
        <v>6</v>
      </c>
      <c r="C42" t="s">
        <v>7</v>
      </c>
      <c r="D42" t="s">
        <v>10</v>
      </c>
      <c r="E42" s="2">
        <v>43336.398333333331</v>
      </c>
      <c r="F42" s="2" t="s">
        <v>494</v>
      </c>
      <c r="G42" s="2" t="s">
        <v>501</v>
      </c>
    </row>
    <row r="43" spans="1:7" hidden="1" x14ac:dyDescent="0.25">
      <c r="A43" t="s">
        <v>102</v>
      </c>
      <c r="B43" t="s">
        <v>6</v>
      </c>
      <c r="C43" t="s">
        <v>7</v>
      </c>
      <c r="D43" t="s">
        <v>10</v>
      </c>
      <c r="E43" s="2">
        <v>43336.398182870369</v>
      </c>
      <c r="F43" s="2" t="s">
        <v>533</v>
      </c>
      <c r="G43" s="2" t="s">
        <v>543</v>
      </c>
    </row>
    <row r="44" spans="1:7" hidden="1" x14ac:dyDescent="0.25">
      <c r="A44" t="s">
        <v>189</v>
      </c>
      <c r="B44" t="s">
        <v>6</v>
      </c>
      <c r="C44" t="s">
        <v>7</v>
      </c>
      <c r="D44" t="s">
        <v>10</v>
      </c>
      <c r="E44" s="2">
        <v>43336.397962962961</v>
      </c>
      <c r="F44" s="2" t="s">
        <v>494</v>
      </c>
      <c r="G44" s="2" t="s">
        <v>501</v>
      </c>
    </row>
    <row r="45" spans="1:7" hidden="1" x14ac:dyDescent="0.25">
      <c r="A45" t="s">
        <v>207</v>
      </c>
      <c r="B45" t="s">
        <v>6</v>
      </c>
      <c r="C45" t="s">
        <v>7</v>
      </c>
      <c r="D45" t="s">
        <v>10</v>
      </c>
      <c r="E45" s="2">
        <v>43336.39770833333</v>
      </c>
      <c r="F45" s="2" t="s">
        <v>494</v>
      </c>
      <c r="G45" s="2" t="s">
        <v>501</v>
      </c>
    </row>
    <row r="46" spans="1:7" hidden="1" x14ac:dyDescent="0.25">
      <c r="A46" t="s">
        <v>54</v>
      </c>
      <c r="B46" t="s">
        <v>6</v>
      </c>
      <c r="C46" t="s">
        <v>7</v>
      </c>
      <c r="D46" t="s">
        <v>10</v>
      </c>
      <c r="E46" s="2">
        <v>43336.397546296299</v>
      </c>
      <c r="F46" s="2" t="s">
        <v>552</v>
      </c>
      <c r="G46" s="2" t="s">
        <v>568</v>
      </c>
    </row>
    <row r="47" spans="1:7" hidden="1" x14ac:dyDescent="0.25">
      <c r="A47" t="s">
        <v>286</v>
      </c>
      <c r="B47" t="s">
        <v>6</v>
      </c>
      <c r="C47" t="s">
        <v>7</v>
      </c>
      <c r="D47" t="s">
        <v>10</v>
      </c>
      <c r="E47" s="2">
        <v>43336.397337962961</v>
      </c>
      <c r="F47" s="2" t="s">
        <v>494</v>
      </c>
      <c r="G47" s="2" t="s">
        <v>501</v>
      </c>
    </row>
    <row r="48" spans="1:7" hidden="1" x14ac:dyDescent="0.25">
      <c r="A48" t="s">
        <v>171</v>
      </c>
      <c r="B48" t="s">
        <v>6</v>
      </c>
      <c r="C48" t="s">
        <v>7</v>
      </c>
      <c r="D48" t="s">
        <v>10</v>
      </c>
      <c r="E48" s="2">
        <v>43336.397083333337</v>
      </c>
      <c r="F48" s="2" t="s">
        <v>494</v>
      </c>
      <c r="G48" s="2" t="s">
        <v>501</v>
      </c>
    </row>
    <row r="49" spans="1:7" hidden="1" x14ac:dyDescent="0.25">
      <c r="A49" t="s">
        <v>58</v>
      </c>
      <c r="B49" t="s">
        <v>6</v>
      </c>
      <c r="C49" t="s">
        <v>7</v>
      </c>
      <c r="D49" t="s">
        <v>10</v>
      </c>
      <c r="E49" s="2">
        <v>43336.396921296298</v>
      </c>
      <c r="F49" s="2" t="s">
        <v>552</v>
      </c>
      <c r="G49" s="2" t="s">
        <v>568</v>
      </c>
    </row>
    <row r="50" spans="1:7" hidden="1" x14ac:dyDescent="0.25">
      <c r="A50" t="s">
        <v>212</v>
      </c>
      <c r="B50" t="s">
        <v>6</v>
      </c>
      <c r="C50" t="s">
        <v>7</v>
      </c>
      <c r="D50" t="s">
        <v>10</v>
      </c>
      <c r="E50" s="2">
        <v>43336.39671296296</v>
      </c>
      <c r="F50" s="2" t="s">
        <v>494</v>
      </c>
      <c r="G50" s="2" t="s">
        <v>501</v>
      </c>
    </row>
    <row r="51" spans="1:7" hidden="1" x14ac:dyDescent="0.25">
      <c r="A51" t="s">
        <v>172</v>
      </c>
      <c r="B51" t="s">
        <v>6</v>
      </c>
      <c r="C51" t="s">
        <v>7</v>
      </c>
      <c r="D51" t="s">
        <v>10</v>
      </c>
      <c r="E51" s="2">
        <v>43336.396469907406</v>
      </c>
      <c r="F51" s="2" t="s">
        <v>494</v>
      </c>
      <c r="G51" s="2" t="s">
        <v>501</v>
      </c>
    </row>
    <row r="52" spans="1:7" hidden="1" x14ac:dyDescent="0.25">
      <c r="A52" t="s">
        <v>95</v>
      </c>
      <c r="B52" t="s">
        <v>6</v>
      </c>
      <c r="C52" t="s">
        <v>7</v>
      </c>
      <c r="D52" t="s">
        <v>10</v>
      </c>
      <c r="E52" s="2">
        <v>43336.396296296298</v>
      </c>
      <c r="F52" s="2" t="s">
        <v>552</v>
      </c>
      <c r="G52" s="2" t="s">
        <v>568</v>
      </c>
    </row>
    <row r="53" spans="1:7" hidden="1" x14ac:dyDescent="0.25">
      <c r="A53" t="s">
        <v>227</v>
      </c>
      <c r="B53" t="s">
        <v>306</v>
      </c>
      <c r="C53" t="s">
        <v>306</v>
      </c>
      <c r="D53" t="s">
        <v>307</v>
      </c>
      <c r="E53" s="2">
        <v>43336.396157407406</v>
      </c>
      <c r="F53" s="2" t="s">
        <v>492</v>
      </c>
      <c r="G53" s="2" t="s">
        <v>493</v>
      </c>
    </row>
    <row r="54" spans="1:7" hidden="1" x14ac:dyDescent="0.25">
      <c r="A54" t="s">
        <v>213</v>
      </c>
      <c r="B54" t="s">
        <v>6</v>
      </c>
      <c r="C54" t="s">
        <v>7</v>
      </c>
      <c r="D54" t="s">
        <v>10</v>
      </c>
      <c r="E54" s="2">
        <v>43336.396099537036</v>
      </c>
      <c r="F54" s="2" t="s">
        <v>494</v>
      </c>
      <c r="G54" s="2" t="s">
        <v>501</v>
      </c>
    </row>
    <row r="55" spans="1:7" hidden="1" x14ac:dyDescent="0.25">
      <c r="A55" t="s">
        <v>30</v>
      </c>
      <c r="B55" t="s">
        <v>6</v>
      </c>
      <c r="C55" t="s">
        <v>7</v>
      </c>
      <c r="D55" t="s">
        <v>10</v>
      </c>
      <c r="E55" s="2">
        <v>43336.395833333336</v>
      </c>
      <c r="F55" s="2" t="s">
        <v>494</v>
      </c>
      <c r="G55" s="2" t="s">
        <v>495</v>
      </c>
    </row>
    <row r="56" spans="1:7" hidden="1" x14ac:dyDescent="0.25">
      <c r="A56" t="s">
        <v>68</v>
      </c>
      <c r="B56" t="s">
        <v>6</v>
      </c>
      <c r="C56" t="s">
        <v>7</v>
      </c>
      <c r="D56" t="s">
        <v>10</v>
      </c>
      <c r="E56" s="2">
        <v>43336.395671296297</v>
      </c>
      <c r="F56" s="2" t="s">
        <v>552</v>
      </c>
      <c r="G56" s="2" t="s">
        <v>568</v>
      </c>
    </row>
    <row r="57" spans="1:7" hidden="1" x14ac:dyDescent="0.25">
      <c r="A57" t="s">
        <v>214</v>
      </c>
      <c r="B57" t="s">
        <v>6</v>
      </c>
      <c r="C57" t="s">
        <v>7</v>
      </c>
      <c r="D57" t="s">
        <v>10</v>
      </c>
      <c r="E57" s="2">
        <v>43336.395474537036</v>
      </c>
      <c r="F57" s="2" t="s">
        <v>494</v>
      </c>
      <c r="G57" s="2" t="s">
        <v>501</v>
      </c>
    </row>
    <row r="58" spans="1:7" hidden="1" x14ac:dyDescent="0.25">
      <c r="A58" t="s">
        <v>31</v>
      </c>
      <c r="B58" t="s">
        <v>6</v>
      </c>
      <c r="C58" t="s">
        <v>7</v>
      </c>
      <c r="D58" t="s">
        <v>10</v>
      </c>
      <c r="E58" s="2">
        <v>43336.395208333335</v>
      </c>
      <c r="F58" s="2" t="s">
        <v>494</v>
      </c>
      <c r="G58" s="2" t="s">
        <v>495</v>
      </c>
    </row>
    <row r="59" spans="1:7" hidden="1" x14ac:dyDescent="0.25">
      <c r="A59" t="s">
        <v>93</v>
      </c>
      <c r="B59" t="s">
        <v>6</v>
      </c>
      <c r="C59" t="s">
        <v>7</v>
      </c>
      <c r="D59" t="s">
        <v>10</v>
      </c>
      <c r="E59" s="2">
        <v>43336.395057870373</v>
      </c>
      <c r="F59" s="2" t="s">
        <v>552</v>
      </c>
      <c r="G59" s="2" t="s">
        <v>565</v>
      </c>
    </row>
    <row r="60" spans="1:7" hidden="1" x14ac:dyDescent="0.25">
      <c r="A60" t="s">
        <v>285</v>
      </c>
      <c r="B60" t="s">
        <v>6</v>
      </c>
      <c r="C60" t="s">
        <v>7</v>
      </c>
      <c r="D60" t="s">
        <v>10</v>
      </c>
      <c r="E60" s="2">
        <v>43336.394849537035</v>
      </c>
      <c r="F60" s="2" t="s">
        <v>494</v>
      </c>
      <c r="G60" s="2" t="s">
        <v>501</v>
      </c>
    </row>
    <row r="61" spans="1:7" hidden="1" x14ac:dyDescent="0.25">
      <c r="A61" t="s">
        <v>296</v>
      </c>
      <c r="B61" t="s">
        <v>6</v>
      </c>
      <c r="C61" t="s">
        <v>7</v>
      </c>
      <c r="D61" t="s">
        <v>10</v>
      </c>
      <c r="E61" s="2">
        <v>43336.394594907404</v>
      </c>
      <c r="F61" s="2" t="s">
        <v>494</v>
      </c>
      <c r="G61" s="2" t="s">
        <v>495</v>
      </c>
    </row>
    <row r="62" spans="1:7" hidden="1" x14ac:dyDescent="0.25">
      <c r="A62" t="s">
        <v>107</v>
      </c>
      <c r="B62" t="s">
        <v>6</v>
      </c>
      <c r="C62" t="s">
        <v>7</v>
      </c>
      <c r="D62" t="s">
        <v>10</v>
      </c>
      <c r="E62" s="2">
        <v>43336.394432870373</v>
      </c>
      <c r="F62" s="2" t="s">
        <v>494</v>
      </c>
      <c r="G62" s="2" t="s">
        <v>13</v>
      </c>
    </row>
    <row r="63" spans="1:7" hidden="1" x14ac:dyDescent="0.25">
      <c r="A63" t="s">
        <v>215</v>
      </c>
      <c r="B63" t="s">
        <v>6</v>
      </c>
      <c r="C63" t="s">
        <v>7</v>
      </c>
      <c r="D63" t="s">
        <v>10</v>
      </c>
      <c r="E63" s="2">
        <v>43336.394212962965</v>
      </c>
      <c r="F63" s="2" t="s">
        <v>494</v>
      </c>
      <c r="G63" s="2" t="s">
        <v>501</v>
      </c>
    </row>
    <row r="64" spans="1:7" hidden="1" x14ac:dyDescent="0.25">
      <c r="A64" t="s">
        <v>32</v>
      </c>
      <c r="B64" t="s">
        <v>6</v>
      </c>
      <c r="C64" t="s">
        <v>7</v>
      </c>
      <c r="D64" t="s">
        <v>10</v>
      </c>
      <c r="E64" s="2">
        <v>43336.393958333334</v>
      </c>
      <c r="F64" s="2" t="s">
        <v>494</v>
      </c>
      <c r="G64" s="2" t="s">
        <v>495</v>
      </c>
    </row>
    <row r="65" spans="1:7" hidden="1" x14ac:dyDescent="0.25">
      <c r="A65" t="s">
        <v>55</v>
      </c>
      <c r="B65" t="s">
        <v>6</v>
      </c>
      <c r="C65" t="s">
        <v>7</v>
      </c>
      <c r="D65" t="s">
        <v>10</v>
      </c>
      <c r="E65" s="2">
        <v>43336.393819444442</v>
      </c>
      <c r="F65" s="2" t="s">
        <v>558</v>
      </c>
      <c r="G65" s="2" t="s">
        <v>562</v>
      </c>
    </row>
    <row r="66" spans="1:7" hidden="1" x14ac:dyDescent="0.25">
      <c r="A66" t="s">
        <v>284</v>
      </c>
      <c r="B66" t="s">
        <v>6</v>
      </c>
      <c r="C66" t="s">
        <v>7</v>
      </c>
      <c r="D66" t="s">
        <v>13</v>
      </c>
      <c r="E66" s="2">
        <v>43336.393599537034</v>
      </c>
      <c r="F66" s="2" t="s">
        <v>494</v>
      </c>
      <c r="G66" s="2" t="s">
        <v>544</v>
      </c>
    </row>
    <row r="67" spans="1:7" hidden="1" x14ac:dyDescent="0.25">
      <c r="A67" t="s">
        <v>165</v>
      </c>
      <c r="B67" t="s">
        <v>306</v>
      </c>
      <c r="C67" t="s">
        <v>306</v>
      </c>
      <c r="D67" t="s">
        <v>307</v>
      </c>
      <c r="E67" s="2">
        <v>43336.393368055556</v>
      </c>
      <c r="F67" s="2" t="s">
        <v>492</v>
      </c>
      <c r="G67" s="2" t="s">
        <v>493</v>
      </c>
    </row>
    <row r="68" spans="1:7" hidden="1" x14ac:dyDescent="0.25">
      <c r="A68" t="s">
        <v>33</v>
      </c>
      <c r="B68" t="s">
        <v>6</v>
      </c>
      <c r="C68" t="s">
        <v>7</v>
      </c>
      <c r="D68" t="s">
        <v>10</v>
      </c>
      <c r="E68" s="2">
        <v>43336.39334490741</v>
      </c>
      <c r="F68" s="2" t="s">
        <v>494</v>
      </c>
      <c r="G68" s="2" t="s">
        <v>495</v>
      </c>
    </row>
    <row r="69" spans="1:7" hidden="1" x14ac:dyDescent="0.25">
      <c r="A69" t="s">
        <v>267</v>
      </c>
      <c r="B69" t="s">
        <v>6</v>
      </c>
      <c r="C69" t="s">
        <v>7</v>
      </c>
      <c r="D69" t="s">
        <v>10</v>
      </c>
      <c r="E69" s="2">
        <v>43336.393159722225</v>
      </c>
      <c r="F69" s="2" t="s">
        <v>498</v>
      </c>
      <c r="G69" s="2" t="s">
        <v>498</v>
      </c>
    </row>
    <row r="70" spans="1:7" hidden="1" x14ac:dyDescent="0.25">
      <c r="A70" t="s">
        <v>217</v>
      </c>
      <c r="B70" t="s">
        <v>6</v>
      </c>
      <c r="C70" t="s">
        <v>7</v>
      </c>
      <c r="D70" t="s">
        <v>476</v>
      </c>
      <c r="E70" s="2">
        <v>43336.392835648148</v>
      </c>
      <c r="F70" s="2" t="s">
        <v>494</v>
      </c>
      <c r="G70" s="2" t="s">
        <v>544</v>
      </c>
    </row>
    <row r="71" spans="1:7" hidden="1" x14ac:dyDescent="0.25">
      <c r="A71" t="s">
        <v>34</v>
      </c>
      <c r="B71" t="s">
        <v>6</v>
      </c>
      <c r="C71" t="s">
        <v>7</v>
      </c>
      <c r="D71" t="s">
        <v>10</v>
      </c>
      <c r="E71" s="2">
        <v>43336.392731481479</v>
      </c>
      <c r="F71" s="2" t="s">
        <v>494</v>
      </c>
      <c r="G71" s="2" t="s">
        <v>495</v>
      </c>
    </row>
    <row r="72" spans="1:7" hidden="1" x14ac:dyDescent="0.25">
      <c r="A72" t="s">
        <v>242</v>
      </c>
      <c r="B72" t="s">
        <v>6</v>
      </c>
      <c r="C72" t="s">
        <v>7</v>
      </c>
      <c r="D72" t="s">
        <v>10</v>
      </c>
      <c r="E72" s="2">
        <v>43336.392546296294</v>
      </c>
      <c r="F72" s="2" t="s">
        <v>498</v>
      </c>
      <c r="G72" s="2" t="s">
        <v>498</v>
      </c>
    </row>
    <row r="73" spans="1:7" hidden="1" x14ac:dyDescent="0.25">
      <c r="A73" t="s">
        <v>125</v>
      </c>
      <c r="B73" t="s">
        <v>6</v>
      </c>
      <c r="C73" t="s">
        <v>7</v>
      </c>
      <c r="D73" t="s">
        <v>476</v>
      </c>
      <c r="E73" s="2">
        <v>43336.392210648148</v>
      </c>
      <c r="F73" s="2" t="s">
        <v>494</v>
      </c>
      <c r="G73" s="2" t="s">
        <v>544</v>
      </c>
    </row>
    <row r="74" spans="1:7" hidden="1" x14ac:dyDescent="0.25">
      <c r="A74" t="s">
        <v>35</v>
      </c>
      <c r="B74" t="s">
        <v>6</v>
      </c>
      <c r="C74" t="s">
        <v>7</v>
      </c>
      <c r="D74" t="s">
        <v>10</v>
      </c>
      <c r="E74" s="2">
        <v>43336.392106481479</v>
      </c>
      <c r="F74" s="2" t="s">
        <v>494</v>
      </c>
      <c r="G74" s="2" t="s">
        <v>495</v>
      </c>
    </row>
    <row r="75" spans="1:7" hidden="1" x14ac:dyDescent="0.25">
      <c r="A75" t="s">
        <v>266</v>
      </c>
      <c r="B75" t="s">
        <v>6</v>
      </c>
      <c r="C75" t="s">
        <v>7</v>
      </c>
      <c r="D75" t="s">
        <v>10</v>
      </c>
      <c r="E75" s="2">
        <v>43336.391921296294</v>
      </c>
      <c r="F75" s="2" t="s">
        <v>584</v>
      </c>
      <c r="G75" s="2" t="s">
        <v>584</v>
      </c>
    </row>
    <row r="76" spans="1:7" hidden="1" x14ac:dyDescent="0.25">
      <c r="A76" t="s">
        <v>126</v>
      </c>
      <c r="B76" t="s">
        <v>6</v>
      </c>
      <c r="C76" t="s">
        <v>7</v>
      </c>
      <c r="D76" t="s">
        <v>13</v>
      </c>
      <c r="E76" s="2">
        <v>43336.391539351855</v>
      </c>
      <c r="F76" s="2" t="s">
        <v>494</v>
      </c>
      <c r="G76" s="2" t="s">
        <v>544</v>
      </c>
    </row>
    <row r="77" spans="1:7" hidden="1" x14ac:dyDescent="0.25">
      <c r="A77" t="s">
        <v>195</v>
      </c>
      <c r="B77" t="s">
        <v>6</v>
      </c>
      <c r="C77" t="s">
        <v>7</v>
      </c>
      <c r="D77" t="s">
        <v>10</v>
      </c>
      <c r="E77" s="2">
        <v>43336.391516203701</v>
      </c>
      <c r="F77" s="2" t="s">
        <v>494</v>
      </c>
      <c r="G77" s="2" t="s">
        <v>495</v>
      </c>
    </row>
    <row r="78" spans="1:7" hidden="1" x14ac:dyDescent="0.25">
      <c r="A78" t="s">
        <v>265</v>
      </c>
      <c r="B78" t="s">
        <v>6</v>
      </c>
      <c r="C78" t="s">
        <v>7</v>
      </c>
      <c r="D78" t="s">
        <v>10</v>
      </c>
      <c r="E78" s="2">
        <v>43336.391296296293</v>
      </c>
      <c r="F78" s="2" t="s">
        <v>584</v>
      </c>
      <c r="G78" s="2" t="s">
        <v>584</v>
      </c>
    </row>
    <row r="79" spans="1:7" hidden="1" x14ac:dyDescent="0.25">
      <c r="A79" t="s">
        <v>36</v>
      </c>
      <c r="B79" t="s">
        <v>6</v>
      </c>
      <c r="C79" t="s">
        <v>7</v>
      </c>
      <c r="D79" t="s">
        <v>10</v>
      </c>
      <c r="E79" s="2">
        <v>43336.390879629631</v>
      </c>
      <c r="F79" s="2" t="s">
        <v>494</v>
      </c>
      <c r="G79" s="2" t="s">
        <v>495</v>
      </c>
    </row>
    <row r="80" spans="1:7" hidden="1" x14ac:dyDescent="0.25">
      <c r="A80" t="s">
        <v>128</v>
      </c>
      <c r="B80" t="s">
        <v>6</v>
      </c>
      <c r="C80" t="s">
        <v>7</v>
      </c>
      <c r="D80" t="s">
        <v>13</v>
      </c>
      <c r="E80" s="2">
        <v>43336.390787037039</v>
      </c>
      <c r="F80" s="2" t="s">
        <v>494</v>
      </c>
      <c r="G80" s="2" t="s">
        <v>544</v>
      </c>
    </row>
    <row r="81" spans="1:7" hidden="1" x14ac:dyDescent="0.25">
      <c r="A81" t="s">
        <v>264</v>
      </c>
      <c r="B81" t="s">
        <v>6</v>
      </c>
      <c r="C81" t="s">
        <v>7</v>
      </c>
      <c r="D81" t="s">
        <v>10</v>
      </c>
      <c r="E81" s="2">
        <v>43336.390682870369</v>
      </c>
      <c r="F81" s="2" t="s">
        <v>584</v>
      </c>
      <c r="G81" s="2" t="s">
        <v>584</v>
      </c>
    </row>
    <row r="82" spans="1:7" hidden="1" x14ac:dyDescent="0.25">
      <c r="A82" t="s">
        <v>167</v>
      </c>
      <c r="B82" t="s">
        <v>306</v>
      </c>
      <c r="C82" t="s">
        <v>306</v>
      </c>
      <c r="D82" t="s">
        <v>307</v>
      </c>
      <c r="E82" s="2">
        <v>43336.3905787037</v>
      </c>
      <c r="F82" s="2" t="s">
        <v>492</v>
      </c>
      <c r="G82" s="2" t="s">
        <v>493</v>
      </c>
    </row>
    <row r="83" spans="1:7" hidden="1" x14ac:dyDescent="0.25">
      <c r="A83" t="s">
        <v>216</v>
      </c>
      <c r="B83" t="s">
        <v>6</v>
      </c>
      <c r="C83" t="s">
        <v>7</v>
      </c>
      <c r="D83" t="s">
        <v>10</v>
      </c>
      <c r="E83" s="2">
        <v>43336.390266203707</v>
      </c>
      <c r="F83" s="2" t="s">
        <v>494</v>
      </c>
      <c r="G83" s="2" t="s">
        <v>495</v>
      </c>
    </row>
    <row r="84" spans="1:7" hidden="1" x14ac:dyDescent="0.25">
      <c r="A84" t="s">
        <v>263</v>
      </c>
      <c r="B84" t="s">
        <v>6</v>
      </c>
      <c r="C84" t="s">
        <v>7</v>
      </c>
      <c r="D84" t="s">
        <v>10</v>
      </c>
      <c r="E84" s="2">
        <v>43336.390057870369</v>
      </c>
      <c r="F84" s="2" t="s">
        <v>584</v>
      </c>
      <c r="G84" s="2" t="s">
        <v>584</v>
      </c>
    </row>
    <row r="85" spans="1:7" hidden="1" x14ac:dyDescent="0.25">
      <c r="A85" t="s">
        <v>280</v>
      </c>
      <c r="B85" t="s">
        <v>6</v>
      </c>
      <c r="C85" t="s">
        <v>7</v>
      </c>
      <c r="D85" t="s">
        <v>13</v>
      </c>
      <c r="E85" s="2">
        <v>43336.390023148146</v>
      </c>
      <c r="F85" s="2" t="s">
        <v>494</v>
      </c>
      <c r="G85" s="2" t="s">
        <v>544</v>
      </c>
    </row>
    <row r="86" spans="1:7" hidden="1" x14ac:dyDescent="0.25">
      <c r="A86" t="s">
        <v>37</v>
      </c>
      <c r="B86" t="s">
        <v>6</v>
      </c>
      <c r="C86" t="s">
        <v>7</v>
      </c>
      <c r="D86" t="s">
        <v>10</v>
      </c>
      <c r="E86" s="2">
        <v>43336.389641203707</v>
      </c>
      <c r="F86" s="2" t="s">
        <v>494</v>
      </c>
      <c r="G86" s="2" t="s">
        <v>495</v>
      </c>
    </row>
    <row r="87" spans="1:7" hidden="1" x14ac:dyDescent="0.25">
      <c r="A87" t="s">
        <v>257</v>
      </c>
      <c r="B87" t="s">
        <v>6</v>
      </c>
      <c r="C87" t="s">
        <v>7</v>
      </c>
      <c r="D87" t="s">
        <v>10</v>
      </c>
      <c r="E87" s="2">
        <v>43336.389444444445</v>
      </c>
      <c r="F87" s="2" t="s">
        <v>584</v>
      </c>
      <c r="G87" s="2" t="s">
        <v>584</v>
      </c>
    </row>
    <row r="88" spans="1:7" hidden="1" x14ac:dyDescent="0.25">
      <c r="A88" t="s">
        <v>136</v>
      </c>
      <c r="B88" t="s">
        <v>6</v>
      </c>
      <c r="C88" t="s">
        <v>7</v>
      </c>
      <c r="D88" t="s">
        <v>13</v>
      </c>
      <c r="E88" s="2">
        <v>43336.389270833337</v>
      </c>
      <c r="F88" s="2" t="s">
        <v>494</v>
      </c>
      <c r="G88" s="2" t="s">
        <v>544</v>
      </c>
    </row>
    <row r="89" spans="1:7" hidden="1" x14ac:dyDescent="0.25">
      <c r="A89" t="s">
        <v>38</v>
      </c>
      <c r="B89" t="s">
        <v>6</v>
      </c>
      <c r="C89" t="s">
        <v>7</v>
      </c>
      <c r="D89" t="s">
        <v>10</v>
      </c>
      <c r="E89" s="2">
        <v>43336.389016203706</v>
      </c>
      <c r="F89" s="2" t="s">
        <v>494</v>
      </c>
      <c r="G89" s="2" t="s">
        <v>495</v>
      </c>
    </row>
    <row r="90" spans="1:7" hidden="1" x14ac:dyDescent="0.25">
      <c r="A90" t="s">
        <v>256</v>
      </c>
      <c r="B90" t="s">
        <v>6</v>
      </c>
      <c r="C90" t="s">
        <v>7</v>
      </c>
      <c r="D90" t="s">
        <v>10</v>
      </c>
      <c r="E90" s="2">
        <v>43336.388819444444</v>
      </c>
      <c r="F90" s="2" t="s">
        <v>494</v>
      </c>
      <c r="G90" s="2" t="s">
        <v>583</v>
      </c>
    </row>
    <row r="91" spans="1:7" hidden="1" x14ac:dyDescent="0.25">
      <c r="A91" t="s">
        <v>129</v>
      </c>
      <c r="B91" t="s">
        <v>6</v>
      </c>
      <c r="C91" t="s">
        <v>7</v>
      </c>
      <c r="D91" t="s">
        <v>476</v>
      </c>
      <c r="E91" s="2">
        <v>43336.388518518521</v>
      </c>
      <c r="F91" s="2" t="s">
        <v>494</v>
      </c>
      <c r="G91" s="2" t="s">
        <v>544</v>
      </c>
    </row>
    <row r="92" spans="1:7" hidden="1" x14ac:dyDescent="0.25">
      <c r="A92" t="s">
        <v>144</v>
      </c>
      <c r="B92" t="s">
        <v>6</v>
      </c>
      <c r="C92" t="s">
        <v>7</v>
      </c>
      <c r="D92" t="s">
        <v>10</v>
      </c>
      <c r="E92" s="2">
        <v>43336.388391203705</v>
      </c>
      <c r="F92" s="2" t="s">
        <v>494</v>
      </c>
      <c r="G92" s="2" t="s">
        <v>495</v>
      </c>
    </row>
    <row r="93" spans="1:7" hidden="1" x14ac:dyDescent="0.25">
      <c r="A93" t="s">
        <v>244</v>
      </c>
      <c r="B93" t="s">
        <v>6</v>
      </c>
      <c r="C93" t="s">
        <v>7</v>
      </c>
      <c r="D93" t="s">
        <v>10</v>
      </c>
      <c r="E93" s="2">
        <v>43336.388182870367</v>
      </c>
      <c r="F93" s="2" t="s">
        <v>494</v>
      </c>
      <c r="G93" s="2" t="s">
        <v>583</v>
      </c>
    </row>
    <row r="94" spans="1:7" hidden="1" x14ac:dyDescent="0.25">
      <c r="A94" t="s">
        <v>243</v>
      </c>
      <c r="B94" t="s">
        <v>6</v>
      </c>
      <c r="C94" t="s">
        <v>7</v>
      </c>
      <c r="D94" t="s">
        <v>13</v>
      </c>
      <c r="E94" s="2">
        <v>43336.387881944444</v>
      </c>
      <c r="F94" s="2" t="s">
        <v>494</v>
      </c>
      <c r="G94" s="2" t="s">
        <v>544</v>
      </c>
    </row>
    <row r="95" spans="1:7" hidden="1" x14ac:dyDescent="0.25">
      <c r="A95" t="s">
        <v>39</v>
      </c>
      <c r="B95" t="s">
        <v>6</v>
      </c>
      <c r="C95" t="s">
        <v>7</v>
      </c>
      <c r="D95" t="s">
        <v>10</v>
      </c>
      <c r="E95" s="2">
        <v>43336.387777777774</v>
      </c>
      <c r="F95" s="2" t="s">
        <v>494</v>
      </c>
      <c r="G95" s="2" t="s">
        <v>495</v>
      </c>
    </row>
    <row r="96" spans="1:7" hidden="1" x14ac:dyDescent="0.25">
      <c r="A96" t="s">
        <v>255</v>
      </c>
      <c r="B96" t="s">
        <v>6</v>
      </c>
      <c r="C96" t="s">
        <v>7</v>
      </c>
      <c r="D96" t="s">
        <v>476</v>
      </c>
      <c r="E96" s="2">
        <v>43336.38758101852</v>
      </c>
      <c r="F96" s="2" t="s">
        <v>494</v>
      </c>
      <c r="G96" s="2" t="s">
        <v>583</v>
      </c>
    </row>
    <row r="97" spans="1:7" hidden="1" x14ac:dyDescent="0.25">
      <c r="A97" t="s">
        <v>184</v>
      </c>
      <c r="B97" t="s">
        <v>6</v>
      </c>
      <c r="C97" t="s">
        <v>7</v>
      </c>
      <c r="D97" t="s">
        <v>476</v>
      </c>
      <c r="E97" s="2">
        <v>43336.387152777781</v>
      </c>
      <c r="F97" s="2" t="s">
        <v>494</v>
      </c>
      <c r="G97" s="2" t="s">
        <v>544</v>
      </c>
    </row>
    <row r="98" spans="1:7" hidden="1" x14ac:dyDescent="0.25">
      <c r="A98" t="s">
        <v>176</v>
      </c>
      <c r="B98" t="s">
        <v>6</v>
      </c>
      <c r="C98" t="s">
        <v>7</v>
      </c>
      <c r="D98" t="s">
        <v>10</v>
      </c>
      <c r="E98" s="2">
        <v>43336.387152777781</v>
      </c>
      <c r="F98" s="2" t="s">
        <v>494</v>
      </c>
      <c r="G98" s="2" t="s">
        <v>495</v>
      </c>
    </row>
    <row r="99" spans="1:7" hidden="1" x14ac:dyDescent="0.25">
      <c r="A99" t="s">
        <v>254</v>
      </c>
      <c r="B99" t="s">
        <v>6</v>
      </c>
      <c r="C99" t="s">
        <v>7</v>
      </c>
      <c r="D99" t="s">
        <v>10</v>
      </c>
      <c r="E99" s="2">
        <v>43336.386956018519</v>
      </c>
      <c r="F99" s="2" t="s">
        <v>494</v>
      </c>
      <c r="G99" s="2" t="s">
        <v>583</v>
      </c>
    </row>
    <row r="100" spans="1:7" hidden="1" x14ac:dyDescent="0.25">
      <c r="A100" t="s">
        <v>149</v>
      </c>
      <c r="B100" t="s">
        <v>6</v>
      </c>
      <c r="C100" t="s">
        <v>7</v>
      </c>
      <c r="D100" t="s">
        <v>10</v>
      </c>
      <c r="E100" s="2">
        <v>43336.38652777778</v>
      </c>
      <c r="F100" s="2" t="s">
        <v>494</v>
      </c>
      <c r="G100" s="2" t="s">
        <v>501</v>
      </c>
    </row>
    <row r="101" spans="1:7" hidden="1" x14ac:dyDescent="0.25">
      <c r="A101" t="s">
        <v>130</v>
      </c>
      <c r="B101" t="s">
        <v>6</v>
      </c>
      <c r="C101" t="s">
        <v>7</v>
      </c>
      <c r="D101" t="s">
        <v>13</v>
      </c>
      <c r="E101" s="2">
        <v>43336.38652777778</v>
      </c>
      <c r="F101" s="2" t="s">
        <v>494</v>
      </c>
      <c r="G101" s="2" t="s">
        <v>544</v>
      </c>
    </row>
    <row r="102" spans="1:7" hidden="1" x14ac:dyDescent="0.25">
      <c r="A102" t="s">
        <v>223</v>
      </c>
      <c r="B102" t="s">
        <v>306</v>
      </c>
      <c r="C102" t="s">
        <v>306</v>
      </c>
      <c r="D102" t="s">
        <v>307</v>
      </c>
      <c r="E102" s="2">
        <v>43336.386365740742</v>
      </c>
      <c r="F102" s="2" t="s">
        <v>509</v>
      </c>
      <c r="G102" s="2" t="s">
        <v>510</v>
      </c>
    </row>
    <row r="103" spans="1:7" hidden="1" x14ac:dyDescent="0.25">
      <c r="A103" t="s">
        <v>253</v>
      </c>
      <c r="B103" t="s">
        <v>6</v>
      </c>
      <c r="C103" t="s">
        <v>7</v>
      </c>
      <c r="D103" t="s">
        <v>476</v>
      </c>
      <c r="E103" s="2">
        <v>43336.386331018519</v>
      </c>
      <c r="F103" s="2" t="s">
        <v>494</v>
      </c>
      <c r="G103" s="2" t="s">
        <v>583</v>
      </c>
    </row>
    <row r="104" spans="1:7" hidden="1" x14ac:dyDescent="0.25">
      <c r="A104" t="s">
        <v>40</v>
      </c>
      <c r="B104" t="s">
        <v>6</v>
      </c>
      <c r="C104" t="s">
        <v>7</v>
      </c>
      <c r="D104" t="s">
        <v>10</v>
      </c>
      <c r="E104" s="2">
        <v>43336.385914351849</v>
      </c>
      <c r="F104" s="2" t="s">
        <v>494</v>
      </c>
      <c r="G104" s="2" t="s">
        <v>501</v>
      </c>
    </row>
    <row r="105" spans="1:7" hidden="1" x14ac:dyDescent="0.25">
      <c r="A105" t="s">
        <v>131</v>
      </c>
      <c r="B105" t="s">
        <v>6</v>
      </c>
      <c r="C105" t="s">
        <v>7</v>
      </c>
      <c r="D105" t="s">
        <v>10</v>
      </c>
      <c r="E105" s="2">
        <v>43336.385775462964</v>
      </c>
      <c r="F105" s="2" t="s">
        <v>498</v>
      </c>
      <c r="G105" s="2" t="s">
        <v>498</v>
      </c>
    </row>
    <row r="106" spans="1:7" hidden="1" x14ac:dyDescent="0.25">
      <c r="A106" t="s">
        <v>252</v>
      </c>
      <c r="B106" t="s">
        <v>6</v>
      </c>
      <c r="C106" t="s">
        <v>7</v>
      </c>
      <c r="D106" t="s">
        <v>476</v>
      </c>
      <c r="E106" s="2">
        <v>43336.385717592595</v>
      </c>
      <c r="F106" s="2" t="s">
        <v>494</v>
      </c>
      <c r="G106" s="2" t="s">
        <v>583</v>
      </c>
    </row>
    <row r="107" spans="1:7" hidden="1" x14ac:dyDescent="0.25">
      <c r="A107" t="s">
        <v>178</v>
      </c>
      <c r="B107" t="s">
        <v>6</v>
      </c>
      <c r="C107" t="s">
        <v>7</v>
      </c>
      <c r="D107" t="s">
        <v>10</v>
      </c>
      <c r="E107" s="2">
        <v>43336.385300925926</v>
      </c>
      <c r="F107" s="2" t="s">
        <v>494</v>
      </c>
      <c r="G107" s="2" t="s">
        <v>501</v>
      </c>
    </row>
    <row r="108" spans="1:7" hidden="1" x14ac:dyDescent="0.25">
      <c r="A108" t="s">
        <v>132</v>
      </c>
      <c r="B108" t="s">
        <v>6</v>
      </c>
      <c r="C108" t="s">
        <v>7</v>
      </c>
      <c r="D108" t="s">
        <v>10</v>
      </c>
      <c r="E108" s="2">
        <v>43336.385162037041</v>
      </c>
      <c r="F108" s="2" t="s">
        <v>498</v>
      </c>
      <c r="G108" s="2" t="s">
        <v>498</v>
      </c>
    </row>
    <row r="109" spans="1:7" hidden="1" x14ac:dyDescent="0.25">
      <c r="A109" t="s">
        <v>251</v>
      </c>
      <c r="B109" t="s">
        <v>6</v>
      </c>
      <c r="C109" t="s">
        <v>7</v>
      </c>
      <c r="D109" t="s">
        <v>476</v>
      </c>
      <c r="E109" s="2">
        <v>43336.385104166664</v>
      </c>
      <c r="F109" s="2" t="s">
        <v>494</v>
      </c>
      <c r="G109" s="2" t="s">
        <v>583</v>
      </c>
    </row>
    <row r="110" spans="1:7" hidden="1" x14ac:dyDescent="0.25">
      <c r="A110" t="s">
        <v>295</v>
      </c>
      <c r="B110" t="s">
        <v>6</v>
      </c>
      <c r="C110" t="s">
        <v>7</v>
      </c>
      <c r="D110" t="s">
        <v>10</v>
      </c>
      <c r="E110" s="2">
        <v>43336.384687500002</v>
      </c>
      <c r="F110" s="2" t="s">
        <v>494</v>
      </c>
      <c r="G110" s="2" t="s">
        <v>501</v>
      </c>
    </row>
    <row r="111" spans="1:7" hidden="1" x14ac:dyDescent="0.25">
      <c r="A111" t="s">
        <v>279</v>
      </c>
      <c r="B111" t="s">
        <v>6</v>
      </c>
      <c r="C111" t="s">
        <v>7</v>
      </c>
      <c r="D111" t="s">
        <v>10</v>
      </c>
      <c r="E111" s="2">
        <v>43336.38453703704</v>
      </c>
      <c r="F111" s="2" t="s">
        <v>498</v>
      </c>
      <c r="G111" s="2" t="s">
        <v>498</v>
      </c>
    </row>
    <row r="112" spans="1:7" hidden="1" x14ac:dyDescent="0.25">
      <c r="A112" t="s">
        <v>250</v>
      </c>
      <c r="B112" t="s">
        <v>6</v>
      </c>
      <c r="C112" t="s">
        <v>7</v>
      </c>
      <c r="D112" t="s">
        <v>10</v>
      </c>
      <c r="E112" s="2">
        <v>43336.38449074074</v>
      </c>
      <c r="F112" s="2" t="s">
        <v>494</v>
      </c>
      <c r="G112" s="2" t="s">
        <v>583</v>
      </c>
    </row>
    <row r="113" spans="1:7" hidden="1" x14ac:dyDescent="0.25">
      <c r="A113" t="s">
        <v>294</v>
      </c>
      <c r="B113" t="s">
        <v>6</v>
      </c>
      <c r="C113" t="s">
        <v>7</v>
      </c>
      <c r="D113" t="s">
        <v>10</v>
      </c>
      <c r="E113" s="2">
        <v>43336.384074074071</v>
      </c>
      <c r="F113" s="2" t="s">
        <v>494</v>
      </c>
      <c r="G113" s="2" t="s">
        <v>501</v>
      </c>
    </row>
    <row r="114" spans="1:7" hidden="1" x14ac:dyDescent="0.25">
      <c r="A114" t="s">
        <v>147</v>
      </c>
      <c r="B114" t="s">
        <v>6</v>
      </c>
      <c r="C114" t="s">
        <v>7</v>
      </c>
      <c r="D114" t="s">
        <v>10</v>
      </c>
      <c r="E114" s="2">
        <v>43336.383912037039</v>
      </c>
      <c r="F114" s="2" t="s">
        <v>498</v>
      </c>
      <c r="G114" s="2" t="s">
        <v>498</v>
      </c>
    </row>
    <row r="115" spans="1:7" hidden="1" x14ac:dyDescent="0.25">
      <c r="A115" t="s">
        <v>249</v>
      </c>
      <c r="B115" t="s">
        <v>6</v>
      </c>
      <c r="C115" t="s">
        <v>7</v>
      </c>
      <c r="D115" t="s">
        <v>476</v>
      </c>
      <c r="E115" s="2">
        <v>43336.383877314816</v>
      </c>
      <c r="F115" s="2" t="s">
        <v>494</v>
      </c>
      <c r="G115" s="2" t="s">
        <v>583</v>
      </c>
    </row>
    <row r="116" spans="1:7" hidden="1" x14ac:dyDescent="0.25">
      <c r="A116" t="s">
        <v>234</v>
      </c>
      <c r="B116" t="s">
        <v>6</v>
      </c>
      <c r="C116" t="s">
        <v>7</v>
      </c>
      <c r="D116" t="s">
        <v>10</v>
      </c>
      <c r="E116" s="2">
        <v>43336.383460648147</v>
      </c>
      <c r="F116" s="2" t="s">
        <v>494</v>
      </c>
      <c r="G116" s="2" t="s">
        <v>501</v>
      </c>
    </row>
    <row r="117" spans="1:7" hidden="1" x14ac:dyDescent="0.25">
      <c r="A117" t="s">
        <v>278</v>
      </c>
      <c r="B117" t="s">
        <v>6</v>
      </c>
      <c r="C117" t="s">
        <v>7</v>
      </c>
      <c r="D117" t="s">
        <v>10</v>
      </c>
      <c r="E117" s="2">
        <v>43336.383298611108</v>
      </c>
      <c r="F117" s="2" t="s">
        <v>498</v>
      </c>
      <c r="G117" s="2" t="s">
        <v>498</v>
      </c>
    </row>
    <row r="118" spans="1:7" hidden="1" x14ac:dyDescent="0.25">
      <c r="A118" t="s">
        <v>248</v>
      </c>
      <c r="B118" t="s">
        <v>6</v>
      </c>
      <c r="C118" t="s">
        <v>7</v>
      </c>
      <c r="D118" t="s">
        <v>10</v>
      </c>
      <c r="E118" s="2">
        <v>43336.383275462962</v>
      </c>
      <c r="F118" s="2" t="s">
        <v>494</v>
      </c>
      <c r="G118" s="2" t="s">
        <v>582</v>
      </c>
    </row>
    <row r="119" spans="1:7" hidden="1" x14ac:dyDescent="0.25">
      <c r="A119" t="s">
        <v>42</v>
      </c>
      <c r="B119" t="s">
        <v>6</v>
      </c>
      <c r="C119" t="s">
        <v>7</v>
      </c>
      <c r="D119" t="s">
        <v>10</v>
      </c>
      <c r="E119" s="2">
        <v>43336.382847222223</v>
      </c>
      <c r="F119" s="2" t="s">
        <v>494</v>
      </c>
      <c r="G119" s="2" t="s">
        <v>501</v>
      </c>
    </row>
    <row r="120" spans="1:7" hidden="1" x14ac:dyDescent="0.25">
      <c r="A120" t="s">
        <v>247</v>
      </c>
      <c r="B120" t="s">
        <v>6</v>
      </c>
      <c r="C120" t="s">
        <v>7</v>
      </c>
      <c r="D120" t="s">
        <v>10</v>
      </c>
      <c r="E120" s="2">
        <v>43336.382627314815</v>
      </c>
      <c r="F120" s="2" t="s">
        <v>494</v>
      </c>
      <c r="G120" s="2" t="s">
        <v>582</v>
      </c>
    </row>
    <row r="121" spans="1:7" hidden="1" x14ac:dyDescent="0.25">
      <c r="A121" t="s">
        <v>43</v>
      </c>
      <c r="B121" t="s">
        <v>6</v>
      </c>
      <c r="C121" t="s">
        <v>7</v>
      </c>
      <c r="D121" t="s">
        <v>10</v>
      </c>
      <c r="E121" s="2">
        <v>43336.382233796299</v>
      </c>
      <c r="F121" s="2" t="s">
        <v>494</v>
      </c>
      <c r="G121" s="2" t="s">
        <v>501</v>
      </c>
    </row>
    <row r="122" spans="1:7" hidden="1" x14ac:dyDescent="0.25">
      <c r="A122" t="s">
        <v>229</v>
      </c>
      <c r="B122" t="s">
        <v>306</v>
      </c>
      <c r="C122" t="s">
        <v>306</v>
      </c>
      <c r="D122" t="s">
        <v>307</v>
      </c>
      <c r="E122" s="2">
        <v>43336.382164351853</v>
      </c>
      <c r="F122" s="2" t="s">
        <v>492</v>
      </c>
      <c r="G122" s="2" t="s">
        <v>493</v>
      </c>
    </row>
    <row r="123" spans="1:7" hidden="1" x14ac:dyDescent="0.25">
      <c r="A123" t="s">
        <v>173</v>
      </c>
      <c r="B123" t="s">
        <v>6</v>
      </c>
      <c r="C123" t="s">
        <v>7</v>
      </c>
      <c r="D123" t="s">
        <v>10</v>
      </c>
      <c r="E123" s="2">
        <v>43336.382048611114</v>
      </c>
      <c r="F123" s="2" t="s">
        <v>494</v>
      </c>
      <c r="G123" s="2" t="s">
        <v>501</v>
      </c>
    </row>
    <row r="124" spans="1:7" hidden="1" x14ac:dyDescent="0.25">
      <c r="A124" t="s">
        <v>246</v>
      </c>
      <c r="B124" t="s">
        <v>6</v>
      </c>
      <c r="C124" t="s">
        <v>7</v>
      </c>
      <c r="D124" t="s">
        <v>10</v>
      </c>
      <c r="E124" s="2">
        <v>43336.382013888891</v>
      </c>
      <c r="F124" s="2" t="s">
        <v>494</v>
      </c>
      <c r="G124" s="2" t="s">
        <v>582</v>
      </c>
    </row>
    <row r="125" spans="1:7" hidden="1" x14ac:dyDescent="0.25">
      <c r="A125" t="s">
        <v>124</v>
      </c>
      <c r="B125" t="s">
        <v>6</v>
      </c>
      <c r="C125" t="s">
        <v>7</v>
      </c>
      <c r="D125" t="s">
        <v>10</v>
      </c>
      <c r="E125" s="2">
        <v>43336.381631944445</v>
      </c>
      <c r="F125" s="2" t="s">
        <v>494</v>
      </c>
      <c r="G125" s="2" t="s">
        <v>501</v>
      </c>
    </row>
    <row r="126" spans="1:7" hidden="1" x14ac:dyDescent="0.25">
      <c r="A126" t="s">
        <v>236</v>
      </c>
      <c r="B126" t="s">
        <v>6</v>
      </c>
      <c r="C126" t="s">
        <v>7</v>
      </c>
      <c r="D126" t="s">
        <v>10</v>
      </c>
      <c r="E126" s="2">
        <v>43336.381423611114</v>
      </c>
      <c r="F126" s="2" t="s">
        <v>494</v>
      </c>
      <c r="G126" s="2" t="s">
        <v>501</v>
      </c>
    </row>
    <row r="127" spans="1:7" hidden="1" x14ac:dyDescent="0.25">
      <c r="A127" t="s">
        <v>245</v>
      </c>
      <c r="B127" t="s">
        <v>6</v>
      </c>
      <c r="C127" t="s">
        <v>7</v>
      </c>
      <c r="D127" t="s">
        <v>10</v>
      </c>
      <c r="E127" s="2">
        <v>43336.38140046296</v>
      </c>
      <c r="F127" s="2" t="s">
        <v>494</v>
      </c>
      <c r="G127" s="2" t="s">
        <v>582</v>
      </c>
    </row>
    <row r="128" spans="1:7" hidden="1" x14ac:dyDescent="0.25">
      <c r="A128" t="s">
        <v>270</v>
      </c>
      <c r="B128" t="s">
        <v>6</v>
      </c>
      <c r="C128" t="s">
        <v>7</v>
      </c>
      <c r="D128" t="s">
        <v>27</v>
      </c>
      <c r="E128" s="2">
        <v>43336.380972222221</v>
      </c>
      <c r="F128" s="2" t="s">
        <v>498</v>
      </c>
      <c r="G128" s="2" t="s">
        <v>498</v>
      </c>
    </row>
    <row r="129" spans="1:7" hidden="1" x14ac:dyDescent="0.25">
      <c r="A129" t="s">
        <v>290</v>
      </c>
      <c r="B129" t="s">
        <v>6</v>
      </c>
      <c r="C129" t="s">
        <v>7</v>
      </c>
      <c r="D129" t="s">
        <v>476</v>
      </c>
      <c r="E129" s="2">
        <v>43336.380810185183</v>
      </c>
      <c r="F129" s="2" t="s">
        <v>494</v>
      </c>
      <c r="G129" s="2" t="s">
        <v>501</v>
      </c>
    </row>
    <row r="130" spans="1:7" hidden="1" x14ac:dyDescent="0.25">
      <c r="A130" t="s">
        <v>282</v>
      </c>
      <c r="B130" t="s">
        <v>6</v>
      </c>
      <c r="C130" t="s">
        <v>7</v>
      </c>
      <c r="D130" t="s">
        <v>10</v>
      </c>
      <c r="E130" s="2">
        <v>43336.38077546296</v>
      </c>
      <c r="F130" s="2" t="s">
        <v>494</v>
      </c>
      <c r="G130" s="2" t="s">
        <v>582</v>
      </c>
    </row>
    <row r="131" spans="1:7" hidden="1" x14ac:dyDescent="0.25">
      <c r="A131" t="s">
        <v>119</v>
      </c>
      <c r="B131" t="s">
        <v>6</v>
      </c>
      <c r="C131" t="s">
        <v>7</v>
      </c>
      <c r="D131" t="s">
        <v>10</v>
      </c>
      <c r="E131" s="2">
        <v>43336.380173611113</v>
      </c>
      <c r="F131" s="2" t="s">
        <v>545</v>
      </c>
      <c r="G131" s="2" t="s">
        <v>497</v>
      </c>
    </row>
    <row r="132" spans="1:7" hidden="1" x14ac:dyDescent="0.25">
      <c r="A132" t="s">
        <v>269</v>
      </c>
      <c r="B132" t="s">
        <v>6</v>
      </c>
      <c r="C132" t="s">
        <v>7</v>
      </c>
      <c r="D132" t="s">
        <v>10</v>
      </c>
      <c r="E132" s="2">
        <v>43336.380173611113</v>
      </c>
      <c r="F132" s="2" t="s">
        <v>498</v>
      </c>
      <c r="G132" s="2" t="s">
        <v>498</v>
      </c>
    </row>
    <row r="133" spans="1:7" hidden="1" x14ac:dyDescent="0.25">
      <c r="A133" t="s">
        <v>272</v>
      </c>
      <c r="B133" t="s">
        <v>6</v>
      </c>
      <c r="C133" t="s">
        <v>7</v>
      </c>
      <c r="D133" t="s">
        <v>10</v>
      </c>
      <c r="E133" s="2">
        <v>43336.380162037036</v>
      </c>
      <c r="F133" s="2" t="s">
        <v>494</v>
      </c>
      <c r="G133" s="2" t="s">
        <v>582</v>
      </c>
    </row>
    <row r="134" spans="1:7" hidden="1" x14ac:dyDescent="0.25">
      <c r="A134" t="s">
        <v>268</v>
      </c>
      <c r="B134" t="s">
        <v>6</v>
      </c>
      <c r="C134" t="s">
        <v>7</v>
      </c>
      <c r="D134" t="s">
        <v>10</v>
      </c>
      <c r="E134" s="2">
        <v>43336.379571759258</v>
      </c>
      <c r="F134" s="2" t="s">
        <v>498</v>
      </c>
      <c r="G134" s="2" t="s">
        <v>498</v>
      </c>
    </row>
    <row r="135" spans="1:7" hidden="1" x14ac:dyDescent="0.25">
      <c r="A135" t="s">
        <v>150</v>
      </c>
      <c r="B135" t="s">
        <v>6</v>
      </c>
      <c r="C135" t="s">
        <v>7</v>
      </c>
      <c r="D135" t="s">
        <v>476</v>
      </c>
      <c r="E135" s="2">
        <v>43336.379537037035</v>
      </c>
      <c r="F135" s="2" t="s">
        <v>545</v>
      </c>
      <c r="G135" s="2" t="s">
        <v>497</v>
      </c>
    </row>
    <row r="136" spans="1:7" hidden="1" x14ac:dyDescent="0.25">
      <c r="A136" t="s">
        <v>225</v>
      </c>
      <c r="B136" t="s">
        <v>6</v>
      </c>
      <c r="C136" t="s">
        <v>7</v>
      </c>
      <c r="D136" t="s">
        <v>484</v>
      </c>
      <c r="E136" s="2">
        <v>43336.379351851851</v>
      </c>
      <c r="F136" s="2" t="s">
        <v>492</v>
      </c>
      <c r="G136" s="2" t="s">
        <v>493</v>
      </c>
    </row>
    <row r="137" spans="1:7" hidden="1" x14ac:dyDescent="0.25">
      <c r="A137" t="s">
        <v>239</v>
      </c>
      <c r="B137" t="s">
        <v>6</v>
      </c>
      <c r="C137" t="s">
        <v>7</v>
      </c>
      <c r="D137" t="s">
        <v>10</v>
      </c>
      <c r="E137" s="2">
        <v>43336.378969907404</v>
      </c>
      <c r="F137" s="2" t="s">
        <v>498</v>
      </c>
      <c r="G137" s="2" t="s">
        <v>498</v>
      </c>
    </row>
    <row r="138" spans="1:7" hidden="1" x14ac:dyDescent="0.25">
      <c r="A138" t="s">
        <v>240</v>
      </c>
      <c r="B138" t="s">
        <v>6</v>
      </c>
      <c r="C138" t="s">
        <v>7</v>
      </c>
      <c r="D138" t="s">
        <v>10</v>
      </c>
      <c r="E138" s="2">
        <v>43336.378391203703</v>
      </c>
      <c r="F138" s="2" t="s">
        <v>498</v>
      </c>
      <c r="G138" s="2" t="s">
        <v>498</v>
      </c>
    </row>
    <row r="139" spans="1:7" hidden="1" x14ac:dyDescent="0.25">
      <c r="A139" t="s">
        <v>220</v>
      </c>
      <c r="B139" t="s">
        <v>6</v>
      </c>
      <c r="C139" t="s">
        <v>7</v>
      </c>
      <c r="D139" t="s">
        <v>484</v>
      </c>
      <c r="E139" s="2">
        <v>43336.365347222221</v>
      </c>
      <c r="F139" s="2" t="s">
        <v>509</v>
      </c>
      <c r="G139" s="2" t="s">
        <v>510</v>
      </c>
    </row>
    <row r="140" spans="1:7" hidden="1" x14ac:dyDescent="0.25">
      <c r="A140" t="s">
        <v>87</v>
      </c>
      <c r="B140" t="s">
        <v>6</v>
      </c>
      <c r="C140" t="s">
        <v>7</v>
      </c>
      <c r="D140" t="s">
        <v>10</v>
      </c>
      <c r="E140" s="2">
        <v>43336.363946759258</v>
      </c>
      <c r="F140" s="2" t="s">
        <v>492</v>
      </c>
      <c r="G140" s="2" t="s">
        <v>521</v>
      </c>
    </row>
    <row r="141" spans="1:7" hidden="1" x14ac:dyDescent="0.25">
      <c r="A141" t="s">
        <v>228</v>
      </c>
      <c r="B141" t="s">
        <v>6</v>
      </c>
      <c r="C141" t="s">
        <v>7</v>
      </c>
      <c r="D141" t="s">
        <v>10</v>
      </c>
      <c r="E141" s="2">
        <v>43336.363310185188</v>
      </c>
      <c r="F141" s="2" t="s">
        <v>509</v>
      </c>
      <c r="G141" s="2" t="s">
        <v>523</v>
      </c>
    </row>
    <row r="142" spans="1:7" hidden="1" x14ac:dyDescent="0.25">
      <c r="A142" t="s">
        <v>161</v>
      </c>
      <c r="B142" t="s">
        <v>6</v>
      </c>
      <c r="C142" t="s">
        <v>7</v>
      </c>
      <c r="D142" t="s">
        <v>10</v>
      </c>
      <c r="E142" s="2">
        <v>43336.362696759257</v>
      </c>
      <c r="F142" s="2" t="s">
        <v>492</v>
      </c>
      <c r="G142" s="2" t="s">
        <v>493</v>
      </c>
    </row>
    <row r="143" spans="1:7" hidden="1" x14ac:dyDescent="0.25">
      <c r="A143" t="s">
        <v>226</v>
      </c>
      <c r="B143" t="s">
        <v>6</v>
      </c>
      <c r="C143" t="s">
        <v>7</v>
      </c>
      <c r="D143" t="s">
        <v>10</v>
      </c>
      <c r="E143" s="2">
        <v>43336.36209490741</v>
      </c>
      <c r="F143" s="2" t="s">
        <v>509</v>
      </c>
      <c r="G143" s="2" t="s">
        <v>510</v>
      </c>
    </row>
    <row r="144" spans="1:7" hidden="1" x14ac:dyDescent="0.25">
      <c r="A144" t="s">
        <v>230</v>
      </c>
      <c r="B144" t="s">
        <v>6</v>
      </c>
      <c r="C144" t="s">
        <v>7</v>
      </c>
      <c r="D144" t="s">
        <v>10</v>
      </c>
      <c r="E144" s="2">
        <v>43336.361481481479</v>
      </c>
      <c r="F144" s="2" t="s">
        <v>509</v>
      </c>
      <c r="G144" s="2" t="s">
        <v>510</v>
      </c>
    </row>
    <row r="145" spans="1:7" hidden="1" x14ac:dyDescent="0.25">
      <c r="A145" t="s">
        <v>222</v>
      </c>
      <c r="B145" t="s">
        <v>6</v>
      </c>
      <c r="C145" t="s">
        <v>7</v>
      </c>
      <c r="D145" t="s">
        <v>484</v>
      </c>
      <c r="E145" s="2">
        <v>43336.360856481479</v>
      </c>
      <c r="F145" s="2" t="s">
        <v>13</v>
      </c>
      <c r="G145" s="2" t="s">
        <v>532</v>
      </c>
    </row>
    <row r="146" spans="1:7" hidden="1" x14ac:dyDescent="0.25">
      <c r="A146" t="s">
        <v>157</v>
      </c>
      <c r="B146" t="s">
        <v>6</v>
      </c>
      <c r="C146" t="s">
        <v>7</v>
      </c>
      <c r="D146" t="s">
        <v>13</v>
      </c>
      <c r="E146" s="2">
        <v>43336.359456018516</v>
      </c>
      <c r="F146" s="2" t="s">
        <v>13</v>
      </c>
      <c r="G146" s="2" t="s">
        <v>535</v>
      </c>
    </row>
    <row r="147" spans="1:7" hidden="1" x14ac:dyDescent="0.25">
      <c r="A147" t="s">
        <v>160</v>
      </c>
      <c r="B147" t="s">
        <v>6</v>
      </c>
      <c r="C147" t="s">
        <v>7</v>
      </c>
      <c r="D147" t="s">
        <v>10</v>
      </c>
      <c r="E147" s="2">
        <v>43336.358749999999</v>
      </c>
      <c r="F147" s="2" t="s">
        <v>492</v>
      </c>
      <c r="G147" s="2" t="s">
        <v>493</v>
      </c>
    </row>
    <row r="148" spans="1:7" hidden="1" x14ac:dyDescent="0.25">
      <c r="A148" t="s">
        <v>180</v>
      </c>
      <c r="B148" t="s">
        <v>6</v>
      </c>
      <c r="C148" t="s">
        <v>7</v>
      </c>
      <c r="D148" t="s">
        <v>10</v>
      </c>
      <c r="E148" s="2">
        <v>43336.358148148145</v>
      </c>
      <c r="F148" s="2" t="s">
        <v>492</v>
      </c>
      <c r="G148" s="2" t="s">
        <v>493</v>
      </c>
    </row>
    <row r="149" spans="1:7" hidden="1" x14ac:dyDescent="0.25">
      <c r="A149" t="s">
        <v>166</v>
      </c>
      <c r="B149" t="s">
        <v>6</v>
      </c>
      <c r="C149" t="s">
        <v>7</v>
      </c>
      <c r="D149" t="s">
        <v>8</v>
      </c>
      <c r="E149" s="2">
        <v>43336.357523148145</v>
      </c>
      <c r="F149" s="2" t="s">
        <v>492</v>
      </c>
      <c r="G149" s="2" t="s">
        <v>493</v>
      </c>
    </row>
    <row r="150" spans="1:7" hidden="1" x14ac:dyDescent="0.25">
      <c r="A150" t="s">
        <v>159</v>
      </c>
      <c r="B150" t="s">
        <v>6</v>
      </c>
      <c r="C150" t="s">
        <v>7</v>
      </c>
      <c r="D150" t="s">
        <v>10</v>
      </c>
      <c r="E150" s="2">
        <v>43336.356122685182</v>
      </c>
      <c r="F150" s="2" t="s">
        <v>492</v>
      </c>
      <c r="G150" s="2" t="s">
        <v>493</v>
      </c>
    </row>
    <row r="151" spans="1:7" hidden="1" x14ac:dyDescent="0.25">
      <c r="A151" t="s">
        <v>15</v>
      </c>
      <c r="B151" t="s">
        <v>6</v>
      </c>
      <c r="C151" t="s">
        <v>7</v>
      </c>
      <c r="D151" t="s">
        <v>484</v>
      </c>
      <c r="E151" s="2">
        <v>43336.355509259258</v>
      </c>
      <c r="F151" s="2" t="s">
        <v>541</v>
      </c>
      <c r="G151" s="2" t="s">
        <v>542</v>
      </c>
    </row>
    <row r="152" spans="1:7" hidden="1" x14ac:dyDescent="0.25">
      <c r="A152" t="s">
        <v>415</v>
      </c>
      <c r="B152" t="s">
        <v>6</v>
      </c>
      <c r="C152" t="s">
        <v>7</v>
      </c>
      <c r="D152" t="s">
        <v>476</v>
      </c>
      <c r="E152" s="2">
        <v>43336.354120370372</v>
      </c>
      <c r="F152" s="2" t="s">
        <v>581</v>
      </c>
      <c r="G152" s="2" t="s">
        <v>581</v>
      </c>
    </row>
    <row r="153" spans="1:7" hidden="1" x14ac:dyDescent="0.25">
      <c r="A153" t="s">
        <v>381</v>
      </c>
      <c r="B153" t="s">
        <v>6</v>
      </c>
      <c r="C153" t="s">
        <v>7</v>
      </c>
      <c r="D153" t="s">
        <v>476</v>
      </c>
      <c r="E153" s="2">
        <v>43336.353495370371</v>
      </c>
      <c r="F153" s="2" t="s">
        <v>581</v>
      </c>
      <c r="G153" s="2" t="s">
        <v>581</v>
      </c>
    </row>
    <row r="154" spans="1:7" hidden="1" x14ac:dyDescent="0.25">
      <c r="A154" t="s">
        <v>391</v>
      </c>
      <c r="B154" t="s">
        <v>6</v>
      </c>
      <c r="C154" t="s">
        <v>7</v>
      </c>
      <c r="D154" t="s">
        <v>10</v>
      </c>
      <c r="E154" s="2">
        <v>43336.352997685186</v>
      </c>
      <c r="F154" s="2" t="s">
        <v>490</v>
      </c>
      <c r="G154" s="2" t="s">
        <v>491</v>
      </c>
    </row>
    <row r="155" spans="1:7" hidden="1" x14ac:dyDescent="0.25">
      <c r="A155" t="s">
        <v>479</v>
      </c>
      <c r="B155" t="s">
        <v>6</v>
      </c>
      <c r="C155" t="s">
        <v>7</v>
      </c>
      <c r="D155" t="s">
        <v>476</v>
      </c>
      <c r="E155" s="2">
        <v>43336.352870370371</v>
      </c>
      <c r="F155" s="2" t="s">
        <v>581</v>
      </c>
      <c r="G155" s="2" t="s">
        <v>581</v>
      </c>
    </row>
    <row r="156" spans="1:7" hidden="1" x14ac:dyDescent="0.25">
      <c r="A156" t="s">
        <v>390</v>
      </c>
      <c r="B156" t="s">
        <v>6</v>
      </c>
      <c r="C156" t="s">
        <v>7</v>
      </c>
      <c r="D156" t="s">
        <v>10</v>
      </c>
      <c r="E156" s="2">
        <v>43336.352372685185</v>
      </c>
      <c r="F156" s="2" t="s">
        <v>490</v>
      </c>
      <c r="G156" s="2" t="s">
        <v>491</v>
      </c>
    </row>
    <row r="157" spans="1:7" hidden="1" x14ac:dyDescent="0.25">
      <c r="A157" t="s">
        <v>174</v>
      </c>
      <c r="B157" t="s">
        <v>6</v>
      </c>
      <c r="C157" t="s">
        <v>7</v>
      </c>
      <c r="D157" t="s">
        <v>10</v>
      </c>
      <c r="E157" s="2">
        <v>43336.352303240739</v>
      </c>
      <c r="F157" s="2" t="s">
        <v>494</v>
      </c>
      <c r="G157" s="2" t="s">
        <v>501</v>
      </c>
    </row>
    <row r="158" spans="1:7" hidden="1" x14ac:dyDescent="0.25">
      <c r="A158" t="s">
        <v>482</v>
      </c>
      <c r="B158" t="s">
        <v>6</v>
      </c>
      <c r="C158" t="s">
        <v>7</v>
      </c>
      <c r="D158" t="s">
        <v>10</v>
      </c>
      <c r="E158" s="2">
        <v>43336.35224537037</v>
      </c>
      <c r="F158" s="2" t="s">
        <v>581</v>
      </c>
      <c r="G158" s="2" t="s">
        <v>581</v>
      </c>
    </row>
    <row r="159" spans="1:7" hidden="1" x14ac:dyDescent="0.25">
      <c r="A159" t="s">
        <v>421</v>
      </c>
      <c r="B159" t="s">
        <v>6</v>
      </c>
      <c r="C159" t="s">
        <v>7</v>
      </c>
      <c r="D159" t="s">
        <v>10</v>
      </c>
      <c r="E159" s="2">
        <v>43336.351759259262</v>
      </c>
      <c r="F159" s="2" t="s">
        <v>490</v>
      </c>
      <c r="G159" s="2" t="s">
        <v>491</v>
      </c>
    </row>
    <row r="160" spans="1:7" hidden="1" x14ac:dyDescent="0.25">
      <c r="A160" t="s">
        <v>464</v>
      </c>
      <c r="B160" t="s">
        <v>6</v>
      </c>
      <c r="C160" t="s">
        <v>7</v>
      </c>
      <c r="D160" t="s">
        <v>10</v>
      </c>
      <c r="E160" s="2">
        <v>43336.351597222223</v>
      </c>
      <c r="F160" s="2" t="s">
        <v>581</v>
      </c>
      <c r="G160" s="2" t="s">
        <v>581</v>
      </c>
    </row>
    <row r="161" spans="1:7" hidden="1" x14ac:dyDescent="0.25">
      <c r="A161" t="s">
        <v>420</v>
      </c>
      <c r="B161" t="s">
        <v>6</v>
      </c>
      <c r="C161" t="s">
        <v>7</v>
      </c>
      <c r="D161" t="s">
        <v>10</v>
      </c>
      <c r="E161" s="2">
        <v>43336.351145833331</v>
      </c>
      <c r="F161" s="2" t="s">
        <v>490</v>
      </c>
      <c r="G161" s="2" t="s">
        <v>491</v>
      </c>
    </row>
    <row r="162" spans="1:7" hidden="1" x14ac:dyDescent="0.25">
      <c r="A162" t="s">
        <v>463</v>
      </c>
      <c r="B162" t="s">
        <v>6</v>
      </c>
      <c r="C162" t="s">
        <v>7</v>
      </c>
      <c r="D162" t="s">
        <v>476</v>
      </c>
      <c r="E162" s="2">
        <v>43336.350972222222</v>
      </c>
      <c r="F162" s="2" t="s">
        <v>581</v>
      </c>
      <c r="G162" s="2" t="s">
        <v>581</v>
      </c>
    </row>
    <row r="163" spans="1:7" hidden="1" x14ac:dyDescent="0.25">
      <c r="A163" t="s">
        <v>414</v>
      </c>
      <c r="B163" t="s">
        <v>6</v>
      </c>
      <c r="C163" t="s">
        <v>7</v>
      </c>
      <c r="D163" t="s">
        <v>10</v>
      </c>
      <c r="E163" s="2">
        <v>43336.35052083333</v>
      </c>
      <c r="F163" s="2" t="s">
        <v>490</v>
      </c>
      <c r="G163" s="2" t="s">
        <v>491</v>
      </c>
    </row>
    <row r="164" spans="1:7" hidden="1" x14ac:dyDescent="0.25">
      <c r="A164" t="s">
        <v>326</v>
      </c>
      <c r="B164" t="s">
        <v>6</v>
      </c>
      <c r="C164" t="s">
        <v>7</v>
      </c>
      <c r="D164" t="s">
        <v>10</v>
      </c>
      <c r="E164" s="2">
        <v>43336.350335648145</v>
      </c>
      <c r="F164" s="2" t="s">
        <v>581</v>
      </c>
      <c r="G164" s="2" t="s">
        <v>581</v>
      </c>
    </row>
    <row r="165" spans="1:7" hidden="1" x14ac:dyDescent="0.25">
      <c r="A165" t="s">
        <v>327</v>
      </c>
      <c r="B165" t="s">
        <v>6</v>
      </c>
      <c r="C165" t="s">
        <v>7</v>
      </c>
      <c r="D165" t="s">
        <v>10</v>
      </c>
      <c r="E165" s="2">
        <v>43336.349918981483</v>
      </c>
      <c r="F165" s="2" t="s">
        <v>490</v>
      </c>
      <c r="G165" s="2" t="s">
        <v>491</v>
      </c>
    </row>
    <row r="166" spans="1:7" hidden="1" x14ac:dyDescent="0.25">
      <c r="A166" t="s">
        <v>384</v>
      </c>
      <c r="B166" t="s">
        <v>6</v>
      </c>
      <c r="C166" t="s">
        <v>7</v>
      </c>
      <c r="D166" t="s">
        <v>476</v>
      </c>
      <c r="E166" s="2">
        <v>43336.349710648145</v>
      </c>
      <c r="F166" s="2" t="s">
        <v>581</v>
      </c>
      <c r="G166" s="2" t="s">
        <v>581</v>
      </c>
    </row>
    <row r="167" spans="1:7" hidden="1" x14ac:dyDescent="0.25">
      <c r="A167" t="s">
        <v>376</v>
      </c>
      <c r="B167" t="s">
        <v>6</v>
      </c>
      <c r="C167" t="s">
        <v>7</v>
      </c>
      <c r="D167" t="s">
        <v>10</v>
      </c>
      <c r="E167" s="2">
        <v>43336.349305555559</v>
      </c>
      <c r="F167" s="2" t="s">
        <v>490</v>
      </c>
      <c r="G167" s="2" t="s">
        <v>491</v>
      </c>
    </row>
    <row r="168" spans="1:7" hidden="1" x14ac:dyDescent="0.25">
      <c r="A168" t="s">
        <v>377</v>
      </c>
      <c r="B168" t="s">
        <v>6</v>
      </c>
      <c r="C168" t="s">
        <v>7</v>
      </c>
      <c r="D168" t="s">
        <v>476</v>
      </c>
      <c r="E168" s="2">
        <v>43336.348935185182</v>
      </c>
      <c r="F168" s="2" t="s">
        <v>581</v>
      </c>
      <c r="G168" s="2" t="s">
        <v>581</v>
      </c>
    </row>
    <row r="169" spans="1:7" hidden="1" x14ac:dyDescent="0.25">
      <c r="A169" t="s">
        <v>400</v>
      </c>
      <c r="B169" t="s">
        <v>6</v>
      </c>
      <c r="C169" t="s">
        <v>7</v>
      </c>
      <c r="D169" t="s">
        <v>10</v>
      </c>
      <c r="E169" s="2">
        <v>43336.348692129628</v>
      </c>
      <c r="F169" s="2" t="s">
        <v>490</v>
      </c>
      <c r="G169" s="2" t="s">
        <v>491</v>
      </c>
    </row>
    <row r="170" spans="1:7" hidden="1" x14ac:dyDescent="0.25">
      <c r="A170" t="s">
        <v>111</v>
      </c>
      <c r="B170" t="s">
        <v>6</v>
      </c>
      <c r="C170" t="s">
        <v>7</v>
      </c>
      <c r="D170" t="s">
        <v>10</v>
      </c>
      <c r="E170" s="2">
        <v>43336.348310185182</v>
      </c>
      <c r="F170" s="2" t="s">
        <v>492</v>
      </c>
      <c r="G170" s="2" t="s">
        <v>493</v>
      </c>
    </row>
    <row r="171" spans="1:7" hidden="1" x14ac:dyDescent="0.25">
      <c r="A171" t="s">
        <v>363</v>
      </c>
      <c r="B171" t="s">
        <v>6</v>
      </c>
      <c r="C171" t="s">
        <v>7</v>
      </c>
      <c r="D171" t="s">
        <v>10</v>
      </c>
      <c r="E171" s="2">
        <v>43336.348078703704</v>
      </c>
      <c r="F171" s="2" t="s">
        <v>490</v>
      </c>
      <c r="G171" s="2" t="s">
        <v>491</v>
      </c>
    </row>
    <row r="172" spans="1:7" hidden="1" x14ac:dyDescent="0.25">
      <c r="A172" t="s">
        <v>112</v>
      </c>
      <c r="B172" t="s">
        <v>6</v>
      </c>
      <c r="C172" t="s">
        <v>7</v>
      </c>
      <c r="D172" t="s">
        <v>10</v>
      </c>
      <c r="E172" s="2">
        <v>43336.347685185188</v>
      </c>
      <c r="F172" s="2" t="s">
        <v>492</v>
      </c>
      <c r="G172" s="2" t="s">
        <v>493</v>
      </c>
    </row>
    <row r="173" spans="1:7" hidden="1" x14ac:dyDescent="0.25">
      <c r="A173" t="s">
        <v>409</v>
      </c>
      <c r="B173" t="s">
        <v>6</v>
      </c>
      <c r="C173" t="s">
        <v>7</v>
      </c>
      <c r="D173" t="s">
        <v>10</v>
      </c>
      <c r="E173" s="2">
        <v>43336.347453703704</v>
      </c>
      <c r="F173" s="2" t="s">
        <v>490</v>
      </c>
      <c r="G173" s="2" t="s">
        <v>491</v>
      </c>
    </row>
    <row r="174" spans="1:7" hidden="1" x14ac:dyDescent="0.25">
      <c r="A174" t="s">
        <v>113</v>
      </c>
      <c r="B174" t="s">
        <v>6</v>
      </c>
      <c r="C174" t="s">
        <v>7</v>
      </c>
      <c r="D174" t="s">
        <v>10</v>
      </c>
      <c r="E174" s="2">
        <v>43336.347060185188</v>
      </c>
      <c r="F174" s="2" t="s">
        <v>492</v>
      </c>
      <c r="G174" s="2" t="s">
        <v>493</v>
      </c>
    </row>
    <row r="175" spans="1:7" hidden="1" x14ac:dyDescent="0.25">
      <c r="A175" t="s">
        <v>413</v>
      </c>
      <c r="B175" t="s">
        <v>6</v>
      </c>
      <c r="C175" t="s">
        <v>7</v>
      </c>
      <c r="D175" t="s">
        <v>10</v>
      </c>
      <c r="E175" s="2">
        <v>43336.34684027778</v>
      </c>
      <c r="F175" s="2" t="s">
        <v>490</v>
      </c>
      <c r="G175" s="2" t="s">
        <v>491</v>
      </c>
    </row>
    <row r="176" spans="1:7" hidden="1" x14ac:dyDescent="0.25">
      <c r="A176" t="s">
        <v>16</v>
      </c>
      <c r="B176" t="s">
        <v>6</v>
      </c>
      <c r="C176" t="s">
        <v>7</v>
      </c>
      <c r="D176" t="s">
        <v>10</v>
      </c>
      <c r="E176" s="2">
        <v>43336.346435185187</v>
      </c>
      <c r="F176" s="2" t="s">
        <v>492</v>
      </c>
      <c r="G176" s="2" t="s">
        <v>493</v>
      </c>
    </row>
    <row r="177" spans="1:7" hidden="1" x14ac:dyDescent="0.25">
      <c r="A177" t="s">
        <v>412</v>
      </c>
      <c r="B177" t="s">
        <v>6</v>
      </c>
      <c r="C177" t="s">
        <v>7</v>
      </c>
      <c r="D177" t="s">
        <v>476</v>
      </c>
      <c r="E177" s="2">
        <v>43336.346226851849</v>
      </c>
      <c r="F177" s="2" t="s">
        <v>490</v>
      </c>
      <c r="G177" s="2" t="s">
        <v>491</v>
      </c>
    </row>
    <row r="178" spans="1:7" hidden="1" x14ac:dyDescent="0.25">
      <c r="A178" t="s">
        <v>158</v>
      </c>
      <c r="B178" t="s">
        <v>6</v>
      </c>
      <c r="C178" t="s">
        <v>7</v>
      </c>
      <c r="D178" t="s">
        <v>10</v>
      </c>
      <c r="E178" s="2">
        <v>43336.345821759256</v>
      </c>
      <c r="F178" s="2" t="s">
        <v>492</v>
      </c>
      <c r="G178" s="2" t="s">
        <v>493</v>
      </c>
    </row>
    <row r="179" spans="1:7" hidden="1" x14ac:dyDescent="0.25">
      <c r="A179" t="s">
        <v>411</v>
      </c>
      <c r="B179" t="s">
        <v>6</v>
      </c>
      <c r="C179" t="s">
        <v>7</v>
      </c>
      <c r="D179" t="s">
        <v>476</v>
      </c>
      <c r="E179" s="2">
        <v>43336.345625000002</v>
      </c>
      <c r="F179" s="2" t="s">
        <v>490</v>
      </c>
      <c r="G179" s="2" t="s">
        <v>491</v>
      </c>
    </row>
    <row r="180" spans="1:7" hidden="1" x14ac:dyDescent="0.25">
      <c r="A180" t="s">
        <v>114</v>
      </c>
      <c r="B180" t="s">
        <v>6</v>
      </c>
      <c r="C180" t="s">
        <v>7</v>
      </c>
      <c r="D180" t="s">
        <v>10</v>
      </c>
      <c r="E180" s="2">
        <v>43336.345196759263</v>
      </c>
      <c r="F180" s="2" t="s">
        <v>492</v>
      </c>
      <c r="G180" s="2" t="s">
        <v>493</v>
      </c>
    </row>
    <row r="181" spans="1:7" hidden="1" x14ac:dyDescent="0.25">
      <c r="A181" t="s">
        <v>316</v>
      </c>
      <c r="B181" t="s">
        <v>6</v>
      </c>
      <c r="C181" t="s">
        <v>7</v>
      </c>
      <c r="D181" t="s">
        <v>476</v>
      </c>
      <c r="E181" s="2">
        <v>43336.345011574071</v>
      </c>
      <c r="F181" s="2" t="s">
        <v>490</v>
      </c>
      <c r="G181" s="2" t="s">
        <v>491</v>
      </c>
    </row>
    <row r="182" spans="1:7" hidden="1" x14ac:dyDescent="0.25">
      <c r="A182" t="s">
        <v>221</v>
      </c>
      <c r="B182" t="s">
        <v>6</v>
      </c>
      <c r="C182" t="s">
        <v>7</v>
      </c>
      <c r="D182" t="s">
        <v>10</v>
      </c>
      <c r="E182" s="2">
        <v>43336.344594907408</v>
      </c>
      <c r="F182" s="2" t="s">
        <v>492</v>
      </c>
      <c r="G182" s="2" t="s">
        <v>493</v>
      </c>
    </row>
    <row r="183" spans="1:7" hidden="1" x14ac:dyDescent="0.25">
      <c r="A183" t="s">
        <v>315</v>
      </c>
      <c r="B183" t="s">
        <v>6</v>
      </c>
      <c r="C183" t="s">
        <v>7</v>
      </c>
      <c r="D183" t="s">
        <v>476</v>
      </c>
      <c r="E183" s="2">
        <v>43336.344409722224</v>
      </c>
      <c r="F183" s="2" t="s">
        <v>490</v>
      </c>
      <c r="G183" s="2" t="s">
        <v>491</v>
      </c>
    </row>
    <row r="184" spans="1:7" hidden="1" x14ac:dyDescent="0.25">
      <c r="A184" t="s">
        <v>314</v>
      </c>
      <c r="B184" t="s">
        <v>6</v>
      </c>
      <c r="C184" t="s">
        <v>7</v>
      </c>
      <c r="D184" t="s">
        <v>476</v>
      </c>
      <c r="E184" s="2">
        <v>43336.343784722223</v>
      </c>
      <c r="F184" s="2" t="s">
        <v>490</v>
      </c>
      <c r="G184" s="2" t="s">
        <v>491</v>
      </c>
    </row>
    <row r="185" spans="1:7" hidden="1" x14ac:dyDescent="0.25">
      <c r="A185" t="s">
        <v>313</v>
      </c>
      <c r="B185" t="s">
        <v>6</v>
      </c>
      <c r="C185" t="s">
        <v>7</v>
      </c>
      <c r="D185" t="s">
        <v>476</v>
      </c>
      <c r="E185" s="2">
        <v>43336.343171296299</v>
      </c>
      <c r="F185" s="2" t="s">
        <v>490</v>
      </c>
      <c r="G185" s="2" t="s">
        <v>491</v>
      </c>
    </row>
    <row r="186" spans="1:7" hidden="1" x14ac:dyDescent="0.25">
      <c r="A186" t="s">
        <v>320</v>
      </c>
      <c r="B186" t="s">
        <v>6</v>
      </c>
      <c r="C186" t="s">
        <v>7</v>
      </c>
      <c r="D186" t="s">
        <v>10</v>
      </c>
      <c r="E186" s="2">
        <v>43336.342638888891</v>
      </c>
      <c r="F186" s="2" t="s">
        <v>490</v>
      </c>
      <c r="G186" s="2" t="s">
        <v>491</v>
      </c>
    </row>
    <row r="187" spans="1:7" hidden="1" x14ac:dyDescent="0.25">
      <c r="A187" t="s">
        <v>312</v>
      </c>
      <c r="B187" t="s">
        <v>6</v>
      </c>
      <c r="C187" t="s">
        <v>7</v>
      </c>
      <c r="D187" t="s">
        <v>10</v>
      </c>
      <c r="E187" s="2">
        <v>43336.342581018522</v>
      </c>
      <c r="F187" s="2" t="s">
        <v>490</v>
      </c>
      <c r="G187" s="2" t="s">
        <v>491</v>
      </c>
    </row>
    <row r="188" spans="1:7" hidden="1" x14ac:dyDescent="0.25">
      <c r="A188" t="s">
        <v>311</v>
      </c>
      <c r="B188" t="s">
        <v>6</v>
      </c>
      <c r="C188" t="s">
        <v>7</v>
      </c>
      <c r="D188" t="s">
        <v>10</v>
      </c>
      <c r="E188" s="2">
        <v>43336.341990740744</v>
      </c>
      <c r="F188" s="2" t="s">
        <v>490</v>
      </c>
      <c r="G188" s="2" t="s">
        <v>491</v>
      </c>
    </row>
    <row r="189" spans="1:7" hidden="1" x14ac:dyDescent="0.25">
      <c r="A189" t="s">
        <v>80</v>
      </c>
      <c r="B189" t="s">
        <v>6</v>
      </c>
      <c r="C189" t="s">
        <v>7</v>
      </c>
      <c r="D189" t="s">
        <v>476</v>
      </c>
      <c r="E189" s="2">
        <v>43336.341354166667</v>
      </c>
      <c r="F189" s="2" t="s">
        <v>497</v>
      </c>
      <c r="G189" s="2" t="s">
        <v>497</v>
      </c>
    </row>
    <row r="190" spans="1:7" hidden="1" x14ac:dyDescent="0.25">
      <c r="A190" t="s">
        <v>104</v>
      </c>
      <c r="B190" t="s">
        <v>6</v>
      </c>
      <c r="C190" t="s">
        <v>7</v>
      </c>
      <c r="D190" t="s">
        <v>10</v>
      </c>
      <c r="E190" s="2">
        <v>43336.340416666666</v>
      </c>
      <c r="F190" s="2" t="s">
        <v>533</v>
      </c>
      <c r="G190" s="2" t="s">
        <v>543</v>
      </c>
    </row>
    <row r="191" spans="1:7" hidden="1" x14ac:dyDescent="0.25">
      <c r="A191" t="s">
        <v>109</v>
      </c>
      <c r="B191" t="s">
        <v>6</v>
      </c>
      <c r="C191" t="s">
        <v>7</v>
      </c>
      <c r="D191" t="s">
        <v>10</v>
      </c>
      <c r="E191" s="2">
        <v>43336.339791666665</v>
      </c>
      <c r="F191" s="2" t="s">
        <v>533</v>
      </c>
      <c r="G191" s="2" t="s">
        <v>543</v>
      </c>
    </row>
    <row r="192" spans="1:7" hidden="1" x14ac:dyDescent="0.25">
      <c r="A192" t="s">
        <v>110</v>
      </c>
      <c r="B192" t="s">
        <v>6</v>
      </c>
      <c r="C192" t="s">
        <v>7</v>
      </c>
      <c r="D192" t="s">
        <v>476</v>
      </c>
      <c r="E192" s="2">
        <v>43336.339131944442</v>
      </c>
      <c r="F192" s="2" t="s">
        <v>492</v>
      </c>
      <c r="G192" s="2" t="s">
        <v>493</v>
      </c>
    </row>
    <row r="193" spans="1:7" hidden="1" x14ac:dyDescent="0.25">
      <c r="A193" t="s">
        <v>56</v>
      </c>
      <c r="B193" t="s">
        <v>6</v>
      </c>
      <c r="C193" t="s">
        <v>7</v>
      </c>
      <c r="D193" t="s">
        <v>10</v>
      </c>
      <c r="E193" s="2">
        <v>43336.326608796298</v>
      </c>
      <c r="F193" s="2" t="s">
        <v>558</v>
      </c>
      <c r="G193" s="2" t="s">
        <v>559</v>
      </c>
    </row>
    <row r="194" spans="1:7" hidden="1" x14ac:dyDescent="0.25">
      <c r="A194" t="s">
        <v>154</v>
      </c>
      <c r="B194" t="s">
        <v>6</v>
      </c>
      <c r="C194" t="s">
        <v>7</v>
      </c>
      <c r="D194" t="s">
        <v>10</v>
      </c>
      <c r="E194" s="2">
        <v>43336.325960648152</v>
      </c>
      <c r="F194" s="2" t="s">
        <v>558</v>
      </c>
      <c r="G194" s="2" t="s">
        <v>559</v>
      </c>
    </row>
    <row r="195" spans="1:7" hidden="1" x14ac:dyDescent="0.25">
      <c r="A195" t="s">
        <v>57</v>
      </c>
      <c r="B195" t="s">
        <v>6</v>
      </c>
      <c r="C195" t="s">
        <v>7</v>
      </c>
      <c r="D195" t="s">
        <v>10</v>
      </c>
      <c r="E195" s="2">
        <v>43336.325289351851</v>
      </c>
      <c r="F195" s="2" t="s">
        <v>558</v>
      </c>
      <c r="G195" s="2" t="s">
        <v>559</v>
      </c>
    </row>
    <row r="196" spans="1:7" hidden="1" x14ac:dyDescent="0.25">
      <c r="A196" t="s">
        <v>59</v>
      </c>
      <c r="B196" t="s">
        <v>6</v>
      </c>
      <c r="C196" t="s">
        <v>7</v>
      </c>
      <c r="D196" t="s">
        <v>10</v>
      </c>
      <c r="E196" s="2">
        <v>43336.324652777781</v>
      </c>
      <c r="F196" s="2" t="s">
        <v>558</v>
      </c>
      <c r="G196" s="2" t="s">
        <v>559</v>
      </c>
    </row>
    <row r="197" spans="1:7" hidden="1" x14ac:dyDescent="0.25">
      <c r="A197" t="s">
        <v>60</v>
      </c>
      <c r="B197" t="s">
        <v>6</v>
      </c>
      <c r="C197" t="s">
        <v>7</v>
      </c>
      <c r="D197" t="s">
        <v>10</v>
      </c>
      <c r="E197" s="2">
        <v>43336.324004629627</v>
      </c>
      <c r="F197" s="2" t="s">
        <v>558</v>
      </c>
      <c r="G197" s="2" t="s">
        <v>559</v>
      </c>
    </row>
    <row r="198" spans="1:7" hidden="1" x14ac:dyDescent="0.25">
      <c r="A198" t="s">
        <v>66</v>
      </c>
      <c r="B198" t="s">
        <v>6</v>
      </c>
      <c r="C198" t="s">
        <v>7</v>
      </c>
      <c r="D198" t="s">
        <v>10</v>
      </c>
      <c r="E198" s="2">
        <v>43336.323368055557</v>
      </c>
      <c r="F198" s="2" t="s">
        <v>558</v>
      </c>
      <c r="G198" s="2" t="s">
        <v>559</v>
      </c>
    </row>
    <row r="199" spans="1:7" hidden="1" x14ac:dyDescent="0.25">
      <c r="A199" t="s">
        <v>121</v>
      </c>
      <c r="B199" t="s">
        <v>6</v>
      </c>
      <c r="C199" t="s">
        <v>7</v>
      </c>
      <c r="D199" t="s">
        <v>10</v>
      </c>
      <c r="E199" s="2">
        <v>43336.32271990741</v>
      </c>
      <c r="F199" s="2" t="s">
        <v>558</v>
      </c>
      <c r="G199" s="2" t="s">
        <v>559</v>
      </c>
    </row>
    <row r="200" spans="1:7" hidden="1" x14ac:dyDescent="0.25">
      <c r="A200" t="s">
        <v>203</v>
      </c>
      <c r="B200" t="s">
        <v>6</v>
      </c>
      <c r="C200" t="s">
        <v>7</v>
      </c>
      <c r="D200" t="s">
        <v>10</v>
      </c>
      <c r="E200" s="2">
        <v>43336.322071759256</v>
      </c>
      <c r="F200" s="2" t="s">
        <v>560</v>
      </c>
      <c r="G200" s="2" t="s">
        <v>561</v>
      </c>
    </row>
    <row r="201" spans="1:7" hidden="1" x14ac:dyDescent="0.25">
      <c r="A201" t="s">
        <v>64</v>
      </c>
      <c r="B201" t="s">
        <v>6</v>
      </c>
      <c r="C201" t="s">
        <v>7</v>
      </c>
      <c r="D201" t="s">
        <v>10</v>
      </c>
      <c r="E201" s="2">
        <v>43336.321446759262</v>
      </c>
      <c r="F201" s="2" t="s">
        <v>492</v>
      </c>
      <c r="G201" s="2" t="s">
        <v>557</v>
      </c>
    </row>
    <row r="202" spans="1:7" hidden="1" x14ac:dyDescent="0.25">
      <c r="A202" t="s">
        <v>65</v>
      </c>
      <c r="B202" t="s">
        <v>6</v>
      </c>
      <c r="C202" t="s">
        <v>7</v>
      </c>
      <c r="D202" t="s">
        <v>10</v>
      </c>
      <c r="E202" s="2">
        <v>43336.320821759262</v>
      </c>
      <c r="F202" s="2" t="s">
        <v>492</v>
      </c>
      <c r="G202" s="2" t="s">
        <v>546</v>
      </c>
    </row>
    <row r="203" spans="1:7" hidden="1" x14ac:dyDescent="0.25">
      <c r="A203" t="s">
        <v>67</v>
      </c>
      <c r="B203" t="s">
        <v>6</v>
      </c>
      <c r="C203" t="s">
        <v>7</v>
      </c>
      <c r="D203" t="s">
        <v>10</v>
      </c>
      <c r="E203" s="2">
        <v>43336.320196759261</v>
      </c>
      <c r="F203" s="2" t="s">
        <v>492</v>
      </c>
      <c r="G203" s="2" t="s">
        <v>546</v>
      </c>
    </row>
    <row r="204" spans="1:7" hidden="1" x14ac:dyDescent="0.25">
      <c r="A204" t="s">
        <v>152</v>
      </c>
      <c r="B204" t="s">
        <v>6</v>
      </c>
      <c r="C204" t="s">
        <v>7</v>
      </c>
      <c r="D204" t="s">
        <v>10</v>
      </c>
      <c r="E204" s="2">
        <v>43336.319548611114</v>
      </c>
      <c r="F204" s="2" t="s">
        <v>492</v>
      </c>
      <c r="G204" s="2" t="s">
        <v>546</v>
      </c>
    </row>
    <row r="205" spans="1:7" hidden="1" x14ac:dyDescent="0.25">
      <c r="A205" t="s">
        <v>69</v>
      </c>
      <c r="B205" t="s">
        <v>6</v>
      </c>
      <c r="C205" t="s">
        <v>7</v>
      </c>
      <c r="D205" t="s">
        <v>10</v>
      </c>
      <c r="E205" s="2">
        <v>43336.318877314814</v>
      </c>
      <c r="F205" s="2" t="s">
        <v>492</v>
      </c>
      <c r="G205" s="2" t="s">
        <v>546</v>
      </c>
    </row>
    <row r="206" spans="1:7" hidden="1" x14ac:dyDescent="0.25">
      <c r="A206" t="s">
        <v>92</v>
      </c>
      <c r="B206" t="s">
        <v>6</v>
      </c>
      <c r="C206" t="s">
        <v>7</v>
      </c>
      <c r="D206" t="s">
        <v>10</v>
      </c>
      <c r="E206" s="2">
        <v>43336.318206018521</v>
      </c>
      <c r="F206" s="2" t="s">
        <v>492</v>
      </c>
      <c r="G206" s="2" t="s">
        <v>546</v>
      </c>
    </row>
    <row r="207" spans="1:7" hidden="1" x14ac:dyDescent="0.25">
      <c r="A207" t="s">
        <v>89</v>
      </c>
      <c r="B207" t="s">
        <v>6</v>
      </c>
      <c r="C207" t="s">
        <v>7</v>
      </c>
      <c r="D207" t="s">
        <v>10</v>
      </c>
      <c r="E207" s="2">
        <v>43336.317523148151</v>
      </c>
      <c r="F207" s="2" t="s">
        <v>492</v>
      </c>
      <c r="G207" s="2" t="s">
        <v>546</v>
      </c>
    </row>
    <row r="208" spans="1:7" hidden="1" x14ac:dyDescent="0.25">
      <c r="A208" t="s">
        <v>91</v>
      </c>
      <c r="B208" t="s">
        <v>6</v>
      </c>
      <c r="C208" t="s">
        <v>7</v>
      </c>
      <c r="D208" t="s">
        <v>10</v>
      </c>
      <c r="E208" s="2">
        <v>43336.316874999997</v>
      </c>
      <c r="F208" s="2" t="s">
        <v>492</v>
      </c>
      <c r="G208" s="2" t="s">
        <v>546</v>
      </c>
    </row>
    <row r="209" spans="1:7" hidden="1" x14ac:dyDescent="0.25">
      <c r="A209" t="s">
        <v>94</v>
      </c>
      <c r="B209" t="s">
        <v>6</v>
      </c>
      <c r="C209" t="s">
        <v>7</v>
      </c>
      <c r="D209" t="s">
        <v>10</v>
      </c>
      <c r="E209" s="2">
        <v>43336.316192129627</v>
      </c>
      <c r="F209" s="2" t="s">
        <v>492</v>
      </c>
      <c r="G209" s="2" t="s">
        <v>546</v>
      </c>
    </row>
    <row r="210" spans="1:7" hidden="1" x14ac:dyDescent="0.25">
      <c r="A210" t="s">
        <v>120</v>
      </c>
      <c r="B210" t="s">
        <v>6</v>
      </c>
      <c r="C210" t="s">
        <v>219</v>
      </c>
      <c r="D210" t="s">
        <v>476</v>
      </c>
      <c r="E210" s="2">
        <v>43336.31554398148</v>
      </c>
      <c r="F210" s="2" t="s">
        <v>553</v>
      </c>
      <c r="G210" s="2" t="s">
        <v>497</v>
      </c>
    </row>
    <row r="211" spans="1:7" hidden="1" x14ac:dyDescent="0.25">
      <c r="A211" t="s">
        <v>369</v>
      </c>
      <c r="B211" t="s">
        <v>6</v>
      </c>
      <c r="C211" t="s">
        <v>7</v>
      </c>
      <c r="D211" t="s">
        <v>10</v>
      </c>
      <c r="E211" s="2">
        <v>43336.315138888887</v>
      </c>
      <c r="F211" s="2" t="s">
        <v>490</v>
      </c>
      <c r="G211" s="2" t="s">
        <v>491</v>
      </c>
    </row>
    <row r="212" spans="1:7" hidden="1" x14ac:dyDescent="0.25">
      <c r="A212" t="s">
        <v>155</v>
      </c>
      <c r="B212" t="s">
        <v>6</v>
      </c>
      <c r="C212" t="s">
        <v>7</v>
      </c>
      <c r="D212" t="s">
        <v>476</v>
      </c>
      <c r="E212" s="2">
        <v>43336.31486111111</v>
      </c>
      <c r="F212" s="2" t="s">
        <v>553</v>
      </c>
      <c r="G212" s="2" t="s">
        <v>497</v>
      </c>
    </row>
    <row r="213" spans="1:7" hidden="1" x14ac:dyDescent="0.25">
      <c r="A213" t="s">
        <v>387</v>
      </c>
      <c r="B213" t="s">
        <v>6</v>
      </c>
      <c r="C213" t="s">
        <v>7</v>
      </c>
      <c r="D213" t="s">
        <v>476</v>
      </c>
      <c r="E213" s="2">
        <v>43336.31453703704</v>
      </c>
      <c r="F213" s="2" t="s">
        <v>490</v>
      </c>
      <c r="G213" s="2" t="s">
        <v>491</v>
      </c>
    </row>
    <row r="214" spans="1:7" hidden="1" x14ac:dyDescent="0.25">
      <c r="A214" t="s">
        <v>99</v>
      </c>
      <c r="B214" t="s">
        <v>6</v>
      </c>
      <c r="C214" t="s">
        <v>7</v>
      </c>
      <c r="D214" t="s">
        <v>10</v>
      </c>
      <c r="E214" s="2">
        <v>43336.31417824074</v>
      </c>
      <c r="F214" s="2" t="s">
        <v>533</v>
      </c>
      <c r="G214" s="2" t="s">
        <v>543</v>
      </c>
    </row>
    <row r="215" spans="1:7" hidden="1" x14ac:dyDescent="0.25">
      <c r="A215" t="s">
        <v>486</v>
      </c>
      <c r="B215" t="s">
        <v>6</v>
      </c>
      <c r="C215" t="s">
        <v>7</v>
      </c>
      <c r="D215" t="s">
        <v>10</v>
      </c>
      <c r="E215" s="2">
        <v>43336.31391203704</v>
      </c>
      <c r="F215" s="2" t="s">
        <v>524</v>
      </c>
      <c r="G215" s="2" t="s">
        <v>520</v>
      </c>
    </row>
    <row r="216" spans="1:7" hidden="1" x14ac:dyDescent="0.25">
      <c r="A216" t="s">
        <v>153</v>
      </c>
      <c r="B216" t="s">
        <v>6</v>
      </c>
      <c r="C216" t="s">
        <v>7</v>
      </c>
      <c r="D216" t="s">
        <v>10</v>
      </c>
      <c r="E216" s="2">
        <v>43336.31349537037</v>
      </c>
      <c r="F216" s="2" t="s">
        <v>533</v>
      </c>
      <c r="G216" s="2" t="s">
        <v>543</v>
      </c>
    </row>
    <row r="217" spans="1:7" hidden="1" x14ac:dyDescent="0.25">
      <c r="A217" t="s">
        <v>480</v>
      </c>
      <c r="B217" t="s">
        <v>6</v>
      </c>
      <c r="C217" t="s">
        <v>7</v>
      </c>
      <c r="D217" t="s">
        <v>10</v>
      </c>
      <c r="E217" s="2">
        <v>43336.313263888886</v>
      </c>
      <c r="F217" s="2" t="s">
        <v>527</v>
      </c>
      <c r="G217" s="2" t="s">
        <v>520</v>
      </c>
    </row>
    <row r="218" spans="1:7" hidden="1" x14ac:dyDescent="0.25">
      <c r="A218" t="s">
        <v>81</v>
      </c>
      <c r="B218" t="s">
        <v>6</v>
      </c>
      <c r="C218" t="s">
        <v>7</v>
      </c>
      <c r="D218" t="s">
        <v>10</v>
      </c>
      <c r="E218" s="2">
        <v>43336.312858796293</v>
      </c>
      <c r="F218" s="2" t="s">
        <v>533</v>
      </c>
      <c r="G218" s="2" t="s">
        <v>543</v>
      </c>
    </row>
    <row r="219" spans="1:7" hidden="1" x14ac:dyDescent="0.25">
      <c r="A219" t="s">
        <v>481</v>
      </c>
      <c r="B219" t="s">
        <v>6</v>
      </c>
      <c r="C219" t="s">
        <v>7</v>
      </c>
      <c r="D219" t="s">
        <v>73</v>
      </c>
      <c r="E219" s="2">
        <v>43336.312650462962</v>
      </c>
      <c r="F219" s="2" t="s">
        <v>530</v>
      </c>
      <c r="G219" s="2" t="s">
        <v>520</v>
      </c>
    </row>
    <row r="220" spans="1:7" hidden="1" x14ac:dyDescent="0.25">
      <c r="A220" t="s">
        <v>82</v>
      </c>
      <c r="B220" t="s">
        <v>6</v>
      </c>
      <c r="C220" t="s">
        <v>7</v>
      </c>
      <c r="D220" t="s">
        <v>10</v>
      </c>
      <c r="E220" s="2">
        <v>43336.312222222223</v>
      </c>
      <c r="F220" s="2" t="s">
        <v>492</v>
      </c>
      <c r="G220" s="2" t="s">
        <v>546</v>
      </c>
    </row>
    <row r="221" spans="1:7" hidden="1" x14ac:dyDescent="0.25">
      <c r="A221" t="s">
        <v>103</v>
      </c>
      <c r="B221" t="s">
        <v>6</v>
      </c>
      <c r="C221" t="s">
        <v>7</v>
      </c>
      <c r="D221" t="s">
        <v>10</v>
      </c>
      <c r="E221" s="2">
        <v>43336.311574074076</v>
      </c>
      <c r="F221" s="2" t="s">
        <v>492</v>
      </c>
      <c r="G221" s="2" t="s">
        <v>546</v>
      </c>
    </row>
    <row r="222" spans="1:7" hidden="1" x14ac:dyDescent="0.25">
      <c r="A222" t="s">
        <v>309</v>
      </c>
      <c r="B222" t="s">
        <v>6</v>
      </c>
      <c r="C222" t="s">
        <v>7</v>
      </c>
      <c r="D222" t="s">
        <v>10</v>
      </c>
      <c r="E222" s="2">
        <v>43336.31145833333</v>
      </c>
      <c r="F222" s="2" t="s">
        <v>490</v>
      </c>
      <c r="G222" s="2" t="s">
        <v>491</v>
      </c>
    </row>
    <row r="223" spans="1:7" hidden="1" x14ac:dyDescent="0.25">
      <c r="A223" t="s">
        <v>382</v>
      </c>
      <c r="B223" t="s">
        <v>6</v>
      </c>
      <c r="C223" t="s">
        <v>7</v>
      </c>
      <c r="D223" t="s">
        <v>73</v>
      </c>
      <c r="E223" s="2">
        <v>43336.311354166668</v>
      </c>
      <c r="F223" s="2" t="s">
        <v>531</v>
      </c>
      <c r="G223" s="2" t="s">
        <v>520</v>
      </c>
    </row>
    <row r="224" spans="1:7" hidden="1" x14ac:dyDescent="0.25">
      <c r="A224" t="s">
        <v>79</v>
      </c>
      <c r="B224" t="s">
        <v>6</v>
      </c>
      <c r="C224" t="s">
        <v>7</v>
      </c>
      <c r="D224" t="s">
        <v>10</v>
      </c>
      <c r="E224" s="2">
        <v>43336.310925925929</v>
      </c>
      <c r="F224" s="2" t="s">
        <v>492</v>
      </c>
      <c r="G224" s="2" t="s">
        <v>546</v>
      </c>
    </row>
    <row r="225" spans="1:7" hidden="1" x14ac:dyDescent="0.25">
      <c r="A225" t="s">
        <v>339</v>
      </c>
      <c r="B225" t="s">
        <v>6</v>
      </c>
      <c r="C225" t="s">
        <v>7</v>
      </c>
      <c r="D225" t="s">
        <v>322</v>
      </c>
      <c r="E225" s="2">
        <v>43336.310844907406</v>
      </c>
      <c r="F225" s="2" t="s">
        <v>490</v>
      </c>
      <c r="G225" s="2" t="s">
        <v>491</v>
      </c>
    </row>
    <row r="226" spans="1:7" hidden="1" x14ac:dyDescent="0.25">
      <c r="A226" t="s">
        <v>118</v>
      </c>
      <c r="B226" t="s">
        <v>6</v>
      </c>
      <c r="C226" t="s">
        <v>7</v>
      </c>
      <c r="D226" t="s">
        <v>10</v>
      </c>
      <c r="E226" s="2">
        <v>43336.310289351852</v>
      </c>
      <c r="F226" s="2" t="s">
        <v>492</v>
      </c>
      <c r="G226" s="2" t="s">
        <v>546</v>
      </c>
    </row>
    <row r="227" spans="1:7" hidden="1" x14ac:dyDescent="0.25">
      <c r="A227" t="s">
        <v>46</v>
      </c>
      <c r="B227" t="s">
        <v>6</v>
      </c>
      <c r="C227" t="s">
        <v>7</v>
      </c>
      <c r="D227" t="s">
        <v>476</v>
      </c>
      <c r="E227" s="2">
        <v>43336.310127314813</v>
      </c>
      <c r="F227" s="2" t="s">
        <v>497</v>
      </c>
      <c r="G227" s="2" t="s">
        <v>497</v>
      </c>
    </row>
    <row r="228" spans="1:7" hidden="1" x14ac:dyDescent="0.25">
      <c r="A228" t="s">
        <v>358</v>
      </c>
      <c r="B228" t="s">
        <v>6</v>
      </c>
      <c r="C228" t="s">
        <v>7</v>
      </c>
      <c r="D228" t="s">
        <v>10</v>
      </c>
      <c r="E228" s="2">
        <v>43336.310069444444</v>
      </c>
      <c r="F228" s="2" t="s">
        <v>534</v>
      </c>
      <c r="G228" s="2" t="s">
        <v>520</v>
      </c>
    </row>
    <row r="229" spans="1:7" hidden="1" x14ac:dyDescent="0.25">
      <c r="A229" t="s">
        <v>204</v>
      </c>
      <c r="B229" t="s">
        <v>6</v>
      </c>
      <c r="C229" t="s">
        <v>7</v>
      </c>
      <c r="D229" t="s">
        <v>10</v>
      </c>
      <c r="E229" s="2">
        <v>43336.309664351851</v>
      </c>
      <c r="F229" s="2" t="s">
        <v>492</v>
      </c>
      <c r="G229" s="2" t="s">
        <v>546</v>
      </c>
    </row>
    <row r="230" spans="1:7" hidden="1" x14ac:dyDescent="0.25">
      <c r="A230" t="s">
        <v>186</v>
      </c>
      <c r="B230" t="s">
        <v>6</v>
      </c>
      <c r="C230" t="s">
        <v>7</v>
      </c>
      <c r="D230" t="s">
        <v>476</v>
      </c>
      <c r="E230" s="2">
        <v>43336.309525462966</v>
      </c>
      <c r="F230" s="2" t="s">
        <v>496</v>
      </c>
      <c r="G230" s="2" t="s">
        <v>497</v>
      </c>
    </row>
    <row r="231" spans="1:7" hidden="1" x14ac:dyDescent="0.25">
      <c r="A231" t="s">
        <v>357</v>
      </c>
      <c r="B231" t="s">
        <v>6</v>
      </c>
      <c r="C231" t="s">
        <v>7</v>
      </c>
      <c r="D231" t="s">
        <v>10</v>
      </c>
      <c r="E231" s="2">
        <v>43336.309444444443</v>
      </c>
      <c r="F231" s="2" t="s">
        <v>536</v>
      </c>
      <c r="G231" s="2" t="s">
        <v>491</v>
      </c>
    </row>
    <row r="232" spans="1:7" hidden="1" x14ac:dyDescent="0.25">
      <c r="A232" t="s">
        <v>338</v>
      </c>
      <c r="B232" t="s">
        <v>6</v>
      </c>
      <c r="C232" t="s">
        <v>7</v>
      </c>
      <c r="D232" t="s">
        <v>8</v>
      </c>
      <c r="E232" s="2">
        <v>43336.309386574074</v>
      </c>
      <c r="F232" s="2" t="s">
        <v>490</v>
      </c>
      <c r="G232" s="2" t="s">
        <v>491</v>
      </c>
    </row>
    <row r="233" spans="1:7" hidden="1" x14ac:dyDescent="0.25">
      <c r="A233" t="s">
        <v>101</v>
      </c>
      <c r="B233" t="s">
        <v>6</v>
      </c>
      <c r="C233" t="s">
        <v>7</v>
      </c>
      <c r="D233" t="s">
        <v>10</v>
      </c>
      <c r="E233" s="2">
        <v>43336.309004629627</v>
      </c>
      <c r="F233" s="2" t="s">
        <v>492</v>
      </c>
      <c r="G233" s="2" t="s">
        <v>546</v>
      </c>
    </row>
    <row r="234" spans="1:7" hidden="1" x14ac:dyDescent="0.25">
      <c r="A234" t="s">
        <v>115</v>
      </c>
      <c r="B234" t="s">
        <v>6</v>
      </c>
      <c r="C234" t="s">
        <v>7</v>
      </c>
      <c r="D234" t="s">
        <v>10</v>
      </c>
      <c r="E234" s="2">
        <v>43336.308912037035</v>
      </c>
      <c r="F234" s="2" t="s">
        <v>499</v>
      </c>
      <c r="G234" s="2" t="s">
        <v>497</v>
      </c>
    </row>
    <row r="235" spans="1:7" hidden="1" x14ac:dyDescent="0.25">
      <c r="A235" t="s">
        <v>355</v>
      </c>
      <c r="B235" t="s">
        <v>6</v>
      </c>
      <c r="C235" t="s">
        <v>7</v>
      </c>
      <c r="D235" t="s">
        <v>10</v>
      </c>
      <c r="E235" s="2">
        <v>43336.308831018519</v>
      </c>
      <c r="F235" s="2" t="s">
        <v>538</v>
      </c>
      <c r="G235" s="2" t="s">
        <v>491</v>
      </c>
    </row>
    <row r="236" spans="1:7" hidden="1" x14ac:dyDescent="0.25">
      <c r="A236" t="s">
        <v>133</v>
      </c>
      <c r="B236" t="s">
        <v>6</v>
      </c>
      <c r="C236" t="s">
        <v>7</v>
      </c>
      <c r="D236" t="s">
        <v>476</v>
      </c>
      <c r="E236" s="2">
        <v>43336.308692129627</v>
      </c>
      <c r="F236" s="2" t="s">
        <v>494</v>
      </c>
      <c r="G236" s="2" t="s">
        <v>501</v>
      </c>
    </row>
    <row r="237" spans="1:7" hidden="1" x14ac:dyDescent="0.25">
      <c r="A237" t="s">
        <v>108</v>
      </c>
      <c r="B237" t="s">
        <v>6</v>
      </c>
      <c r="C237" t="s">
        <v>7</v>
      </c>
      <c r="D237" t="s">
        <v>8</v>
      </c>
      <c r="E237" s="2">
        <v>43336.308356481481</v>
      </c>
      <c r="F237" s="2" t="s">
        <v>492</v>
      </c>
      <c r="G237" s="2" t="s">
        <v>546</v>
      </c>
    </row>
    <row r="238" spans="1:7" hidden="1" x14ac:dyDescent="0.25">
      <c r="A238" t="s">
        <v>281</v>
      </c>
      <c r="B238" t="s">
        <v>6</v>
      </c>
      <c r="C238" t="s">
        <v>7</v>
      </c>
      <c r="D238" t="s">
        <v>10</v>
      </c>
      <c r="E238" s="2">
        <v>43336.308298611111</v>
      </c>
      <c r="F238" s="2" t="s">
        <v>499</v>
      </c>
      <c r="G238" s="2" t="s">
        <v>497</v>
      </c>
    </row>
    <row r="239" spans="1:7" hidden="1" x14ac:dyDescent="0.25">
      <c r="A239" t="s">
        <v>354</v>
      </c>
      <c r="B239" t="s">
        <v>6</v>
      </c>
      <c r="C239" t="s">
        <v>7</v>
      </c>
      <c r="D239" t="s">
        <v>10</v>
      </c>
      <c r="E239" s="2">
        <v>43336.308194444442</v>
      </c>
      <c r="F239" s="2" t="s">
        <v>539</v>
      </c>
      <c r="G239" s="2" t="s">
        <v>491</v>
      </c>
    </row>
    <row r="240" spans="1:7" hidden="1" x14ac:dyDescent="0.25">
      <c r="A240" t="s">
        <v>337</v>
      </c>
      <c r="B240" t="s">
        <v>6</v>
      </c>
      <c r="C240" t="s">
        <v>7</v>
      </c>
      <c r="D240" t="s">
        <v>10</v>
      </c>
      <c r="E240" s="2">
        <v>43336.307939814818</v>
      </c>
      <c r="F240" s="2" t="s">
        <v>490</v>
      </c>
      <c r="G240" s="2" t="s">
        <v>491</v>
      </c>
    </row>
    <row r="241" spans="1:7" hidden="1" x14ac:dyDescent="0.25">
      <c r="A241" t="s">
        <v>26</v>
      </c>
      <c r="B241" t="s">
        <v>6</v>
      </c>
      <c r="C241" t="s">
        <v>7</v>
      </c>
      <c r="D241" t="s">
        <v>8</v>
      </c>
      <c r="E241" s="2">
        <v>43336.307673611111</v>
      </c>
      <c r="F241" s="2" t="s">
        <v>498</v>
      </c>
      <c r="G241" s="2" t="s">
        <v>498</v>
      </c>
    </row>
    <row r="242" spans="1:7" hidden="1" x14ac:dyDescent="0.25">
      <c r="A242" t="s">
        <v>353</v>
      </c>
      <c r="B242" t="s">
        <v>6</v>
      </c>
      <c r="C242" t="s">
        <v>7</v>
      </c>
      <c r="D242" t="s">
        <v>10</v>
      </c>
      <c r="E242" s="2">
        <v>43336.307581018518</v>
      </c>
      <c r="F242" s="2" t="s">
        <v>588</v>
      </c>
      <c r="G242" s="2" t="s">
        <v>491</v>
      </c>
    </row>
    <row r="243" spans="1:7" hidden="1" x14ac:dyDescent="0.25">
      <c r="A243" t="s">
        <v>336</v>
      </c>
      <c r="B243" t="s">
        <v>6</v>
      </c>
      <c r="C243" t="s">
        <v>7</v>
      </c>
      <c r="D243" t="s">
        <v>10</v>
      </c>
      <c r="E243" s="2">
        <v>43336.307314814818</v>
      </c>
      <c r="F243" s="2" t="s">
        <v>490</v>
      </c>
      <c r="G243" s="2" t="s">
        <v>491</v>
      </c>
    </row>
    <row r="244" spans="1:7" hidden="1" x14ac:dyDescent="0.25">
      <c r="A244" t="s">
        <v>352</v>
      </c>
      <c r="B244" t="s">
        <v>6</v>
      </c>
      <c r="C244" t="s">
        <v>7</v>
      </c>
      <c r="D244" t="s">
        <v>8</v>
      </c>
      <c r="E244" s="2">
        <v>43336.306956018518</v>
      </c>
      <c r="F244" s="2" t="s">
        <v>579</v>
      </c>
      <c r="G244" s="2" t="s">
        <v>491</v>
      </c>
    </row>
    <row r="245" spans="1:7" hidden="1" x14ac:dyDescent="0.25">
      <c r="A245" t="s">
        <v>151</v>
      </c>
      <c r="B245" t="s">
        <v>6</v>
      </c>
      <c r="C245" t="s">
        <v>7</v>
      </c>
      <c r="D245" t="s">
        <v>8</v>
      </c>
      <c r="E245" s="2">
        <v>43336.306875000002</v>
      </c>
      <c r="F245" s="2" t="s">
        <v>492</v>
      </c>
      <c r="G245" s="2" t="s">
        <v>546</v>
      </c>
    </row>
    <row r="246" spans="1:7" hidden="1" x14ac:dyDescent="0.25">
      <c r="A246" t="s">
        <v>335</v>
      </c>
      <c r="B246" t="s">
        <v>6</v>
      </c>
      <c r="C246" t="s">
        <v>7</v>
      </c>
      <c r="D246" t="s">
        <v>10</v>
      </c>
      <c r="E246" s="2">
        <v>43336.306701388887</v>
      </c>
      <c r="F246" s="2" t="s">
        <v>490</v>
      </c>
      <c r="G246" s="2" t="s">
        <v>491</v>
      </c>
    </row>
    <row r="247" spans="1:7" hidden="1" x14ac:dyDescent="0.25">
      <c r="A247" t="s">
        <v>122</v>
      </c>
      <c r="B247" t="s">
        <v>6</v>
      </c>
      <c r="C247" t="s">
        <v>7</v>
      </c>
      <c r="D247" t="s">
        <v>73</v>
      </c>
      <c r="E247" s="2">
        <v>43336.306504629632</v>
      </c>
      <c r="F247" s="2" t="s">
        <v>497</v>
      </c>
      <c r="G247" s="2" t="s">
        <v>497</v>
      </c>
    </row>
    <row r="248" spans="1:7" hidden="1" x14ac:dyDescent="0.25">
      <c r="A248" t="s">
        <v>77</v>
      </c>
      <c r="B248" t="s">
        <v>6</v>
      </c>
      <c r="C248" t="s">
        <v>7</v>
      </c>
      <c r="D248" t="s">
        <v>8</v>
      </c>
      <c r="E248" s="2">
        <v>43336.306273148148</v>
      </c>
      <c r="F248" s="2" t="s">
        <v>498</v>
      </c>
      <c r="G248" s="2" t="s">
        <v>498</v>
      </c>
    </row>
    <row r="249" spans="1:7" hidden="1" x14ac:dyDescent="0.25">
      <c r="A249" t="s">
        <v>408</v>
      </c>
      <c r="B249" t="s">
        <v>6</v>
      </c>
      <c r="C249" t="s">
        <v>7</v>
      </c>
      <c r="D249" t="s">
        <v>10</v>
      </c>
      <c r="E249" s="2">
        <v>43336.306076388886</v>
      </c>
      <c r="F249" s="2" t="s">
        <v>490</v>
      </c>
      <c r="G249" s="2" t="s">
        <v>491</v>
      </c>
    </row>
    <row r="250" spans="1:7" hidden="1" x14ac:dyDescent="0.25">
      <c r="A250" t="s">
        <v>351</v>
      </c>
      <c r="B250" t="s">
        <v>6</v>
      </c>
      <c r="C250" t="s">
        <v>7</v>
      </c>
      <c r="D250" t="s">
        <v>10</v>
      </c>
      <c r="E250" s="2">
        <v>43336.305486111109</v>
      </c>
      <c r="F250" s="2" t="s">
        <v>580</v>
      </c>
      <c r="G250" s="2" t="s">
        <v>491</v>
      </c>
    </row>
    <row r="251" spans="1:7" hidden="1" x14ac:dyDescent="0.25">
      <c r="A251" t="s">
        <v>407</v>
      </c>
      <c r="B251" t="s">
        <v>6</v>
      </c>
      <c r="C251" t="s">
        <v>7</v>
      </c>
      <c r="D251" t="s">
        <v>10</v>
      </c>
      <c r="E251" s="2">
        <v>43336.305462962962</v>
      </c>
      <c r="F251" s="2" t="s">
        <v>490</v>
      </c>
      <c r="G251" s="2" t="s">
        <v>491</v>
      </c>
    </row>
    <row r="252" spans="1:7" hidden="1" x14ac:dyDescent="0.25">
      <c r="A252" t="s">
        <v>117</v>
      </c>
      <c r="B252" t="s">
        <v>6</v>
      </c>
      <c r="C252" t="s">
        <v>7</v>
      </c>
      <c r="D252" t="s">
        <v>10</v>
      </c>
      <c r="E252" s="2">
        <v>43336.305405092593</v>
      </c>
      <c r="F252" s="2" t="s">
        <v>492</v>
      </c>
      <c r="G252" s="2" t="s">
        <v>547</v>
      </c>
    </row>
    <row r="253" spans="1:7" hidden="1" x14ac:dyDescent="0.25">
      <c r="A253" t="s">
        <v>72</v>
      </c>
      <c r="B253" t="s">
        <v>6</v>
      </c>
      <c r="C253" t="s">
        <v>7</v>
      </c>
      <c r="D253" t="s">
        <v>73</v>
      </c>
      <c r="E253" s="2">
        <v>43336.305208333331</v>
      </c>
      <c r="F253" s="2" t="s">
        <v>497</v>
      </c>
      <c r="G253" s="2" t="s">
        <v>497</v>
      </c>
    </row>
    <row r="254" spans="1:7" hidden="1" x14ac:dyDescent="0.25">
      <c r="A254" t="s">
        <v>334</v>
      </c>
      <c r="B254" t="s">
        <v>6</v>
      </c>
      <c r="C254" t="s">
        <v>7</v>
      </c>
      <c r="D254" t="s">
        <v>8</v>
      </c>
      <c r="E254" s="2">
        <v>43336.304861111108</v>
      </c>
      <c r="F254" s="2" t="s">
        <v>578</v>
      </c>
      <c r="G254" s="2" t="s">
        <v>491</v>
      </c>
    </row>
    <row r="255" spans="1:7" hidden="1" x14ac:dyDescent="0.25">
      <c r="A255" t="s">
        <v>74</v>
      </c>
      <c r="B255" t="s">
        <v>6</v>
      </c>
      <c r="C255" t="s">
        <v>7</v>
      </c>
      <c r="D255" t="s">
        <v>8</v>
      </c>
      <c r="E255" s="2">
        <v>43336.304837962962</v>
      </c>
      <c r="F255" s="2" t="s">
        <v>498</v>
      </c>
      <c r="G255" s="2" t="s">
        <v>498</v>
      </c>
    </row>
    <row r="256" spans="1:7" hidden="1" x14ac:dyDescent="0.25">
      <c r="A256" t="s">
        <v>406</v>
      </c>
      <c r="B256" t="s">
        <v>6</v>
      </c>
      <c r="C256" t="s">
        <v>7</v>
      </c>
      <c r="D256" t="s">
        <v>10</v>
      </c>
      <c r="E256" s="2">
        <v>43336.304826388892</v>
      </c>
      <c r="F256" s="2" t="s">
        <v>490</v>
      </c>
      <c r="G256" s="2" t="s">
        <v>491</v>
      </c>
    </row>
    <row r="257" spans="1:7" hidden="1" x14ac:dyDescent="0.25">
      <c r="A257" t="s">
        <v>105</v>
      </c>
      <c r="B257" t="s">
        <v>6</v>
      </c>
      <c r="C257" t="s">
        <v>7</v>
      </c>
      <c r="D257" t="s">
        <v>73</v>
      </c>
      <c r="E257" s="2">
        <v>43336.304780092592</v>
      </c>
      <c r="F257" s="2" t="s">
        <v>545</v>
      </c>
      <c r="G257" s="2" t="s">
        <v>497</v>
      </c>
    </row>
    <row r="258" spans="1:7" hidden="1" x14ac:dyDescent="0.25">
      <c r="A258" t="s">
        <v>405</v>
      </c>
      <c r="B258" t="s">
        <v>6</v>
      </c>
      <c r="C258" t="s">
        <v>7</v>
      </c>
      <c r="D258" t="s">
        <v>10</v>
      </c>
      <c r="E258" s="2">
        <v>43336.304224537038</v>
      </c>
      <c r="F258" s="2" t="s">
        <v>490</v>
      </c>
      <c r="G258" s="2" t="s">
        <v>491</v>
      </c>
    </row>
    <row r="259" spans="1:7" hidden="1" x14ac:dyDescent="0.25">
      <c r="A259" t="s">
        <v>96</v>
      </c>
      <c r="B259" t="s">
        <v>6</v>
      </c>
      <c r="C259" t="s">
        <v>7</v>
      </c>
      <c r="D259" t="s">
        <v>73</v>
      </c>
      <c r="E259" s="2">
        <v>43336.303888888891</v>
      </c>
      <c r="F259" s="2" t="s">
        <v>497</v>
      </c>
      <c r="G259" s="2" t="s">
        <v>497</v>
      </c>
    </row>
    <row r="260" spans="1:7" hidden="1" x14ac:dyDescent="0.25">
      <c r="A260" t="s">
        <v>404</v>
      </c>
      <c r="B260" t="s">
        <v>6</v>
      </c>
      <c r="C260" t="s">
        <v>7</v>
      </c>
      <c r="D260" t="s">
        <v>10</v>
      </c>
      <c r="E260" s="2">
        <v>43336.303599537037</v>
      </c>
      <c r="F260" s="2" t="s">
        <v>490</v>
      </c>
      <c r="G260" s="2" t="s">
        <v>491</v>
      </c>
    </row>
    <row r="261" spans="1:7" hidden="1" x14ac:dyDescent="0.25">
      <c r="A261" t="s">
        <v>199</v>
      </c>
      <c r="B261" t="s">
        <v>6</v>
      </c>
      <c r="C261" t="s">
        <v>7</v>
      </c>
      <c r="D261" t="s">
        <v>10</v>
      </c>
      <c r="E261" s="2">
        <v>43336.303449074076</v>
      </c>
      <c r="F261" s="2" t="s">
        <v>498</v>
      </c>
      <c r="G261" s="2" t="s">
        <v>498</v>
      </c>
    </row>
    <row r="262" spans="1:7" hidden="1" x14ac:dyDescent="0.25">
      <c r="A262" t="s">
        <v>350</v>
      </c>
      <c r="B262" t="s">
        <v>6</v>
      </c>
      <c r="C262" t="s">
        <v>7</v>
      </c>
      <c r="D262" t="s">
        <v>10</v>
      </c>
      <c r="E262" s="2">
        <v>43336.303425925929</v>
      </c>
      <c r="F262" s="2" t="s">
        <v>576</v>
      </c>
      <c r="G262" s="2" t="s">
        <v>491</v>
      </c>
    </row>
    <row r="263" spans="1:7" hidden="1" x14ac:dyDescent="0.25">
      <c r="A263" t="s">
        <v>399</v>
      </c>
      <c r="B263" t="s">
        <v>6</v>
      </c>
      <c r="C263" t="s">
        <v>7</v>
      </c>
      <c r="D263" t="s">
        <v>10</v>
      </c>
      <c r="E263" s="2">
        <v>43336.302986111114</v>
      </c>
      <c r="F263" s="2" t="s">
        <v>490</v>
      </c>
      <c r="G263" s="2" t="s">
        <v>491</v>
      </c>
    </row>
    <row r="264" spans="1:7" hidden="1" x14ac:dyDescent="0.25">
      <c r="A264" t="s">
        <v>169</v>
      </c>
      <c r="B264" t="s">
        <v>6</v>
      </c>
      <c r="C264" t="s">
        <v>7</v>
      </c>
      <c r="D264" t="s">
        <v>10</v>
      </c>
      <c r="E264" s="2">
        <v>43336.302835648145</v>
      </c>
      <c r="F264" s="2" t="s">
        <v>498</v>
      </c>
      <c r="G264" s="2" t="s">
        <v>498</v>
      </c>
    </row>
    <row r="265" spans="1:7" hidden="1" x14ac:dyDescent="0.25">
      <c r="A265" t="s">
        <v>332</v>
      </c>
      <c r="B265" t="s">
        <v>6</v>
      </c>
      <c r="C265" t="s">
        <v>7</v>
      </c>
      <c r="D265" t="s">
        <v>10</v>
      </c>
      <c r="E265" s="2">
        <v>43336.302800925929</v>
      </c>
      <c r="F265" s="2" t="s">
        <v>577</v>
      </c>
      <c r="G265" s="2" t="s">
        <v>491</v>
      </c>
    </row>
    <row r="266" spans="1:7" hidden="1" x14ac:dyDescent="0.25">
      <c r="A266" t="s">
        <v>88</v>
      </c>
      <c r="B266" t="s">
        <v>6</v>
      </c>
      <c r="C266" t="s">
        <v>7</v>
      </c>
      <c r="D266" t="s">
        <v>13</v>
      </c>
      <c r="E266" s="2">
        <v>43336.302604166667</v>
      </c>
      <c r="F266" s="2" t="s">
        <v>497</v>
      </c>
      <c r="G266" s="2" t="s">
        <v>497</v>
      </c>
    </row>
    <row r="267" spans="1:7" hidden="1" x14ac:dyDescent="0.25">
      <c r="A267" t="s">
        <v>398</v>
      </c>
      <c r="B267" t="s">
        <v>6</v>
      </c>
      <c r="C267" t="s">
        <v>7</v>
      </c>
      <c r="D267" t="s">
        <v>8</v>
      </c>
      <c r="E267" s="2">
        <v>43336.302349537036</v>
      </c>
      <c r="F267" s="2" t="s">
        <v>490</v>
      </c>
      <c r="G267" s="2" t="s">
        <v>491</v>
      </c>
    </row>
    <row r="268" spans="1:7" hidden="1" x14ac:dyDescent="0.25">
      <c r="A268" t="s">
        <v>75</v>
      </c>
      <c r="B268" t="s">
        <v>6</v>
      </c>
      <c r="C268" t="s">
        <v>7</v>
      </c>
      <c r="D268" t="s">
        <v>10</v>
      </c>
      <c r="E268" s="2">
        <v>43336.302210648151</v>
      </c>
      <c r="F268" s="2" t="s">
        <v>504</v>
      </c>
      <c r="G268" s="2" t="s">
        <v>504</v>
      </c>
    </row>
    <row r="269" spans="1:7" hidden="1" x14ac:dyDescent="0.25">
      <c r="A269" t="s">
        <v>349</v>
      </c>
      <c r="B269" t="s">
        <v>6</v>
      </c>
      <c r="C269" t="s">
        <v>7</v>
      </c>
      <c r="D269" t="s">
        <v>10</v>
      </c>
      <c r="E269" s="2">
        <v>43336.302187499998</v>
      </c>
      <c r="F269" s="2" t="s">
        <v>575</v>
      </c>
      <c r="G269" s="2" t="s">
        <v>491</v>
      </c>
    </row>
    <row r="270" spans="1:7" hidden="1" x14ac:dyDescent="0.25">
      <c r="A270" t="s">
        <v>98</v>
      </c>
      <c r="B270" t="s">
        <v>6</v>
      </c>
      <c r="C270" t="s">
        <v>7</v>
      </c>
      <c r="D270" t="s">
        <v>8</v>
      </c>
      <c r="E270" s="2">
        <v>43336.302037037036</v>
      </c>
      <c r="F270" s="2" t="s">
        <v>545</v>
      </c>
      <c r="G270" s="2" t="s">
        <v>497</v>
      </c>
    </row>
    <row r="271" spans="1:7" hidden="1" x14ac:dyDescent="0.25">
      <c r="A271" t="s">
        <v>205</v>
      </c>
      <c r="B271" t="s">
        <v>6</v>
      </c>
      <c r="C271" t="s">
        <v>7</v>
      </c>
      <c r="D271" t="s">
        <v>13</v>
      </c>
      <c r="E271" s="2">
        <v>43336.301817129628</v>
      </c>
      <c r="F271" s="2" t="s">
        <v>497</v>
      </c>
      <c r="G271" s="2" t="s">
        <v>497</v>
      </c>
    </row>
    <row r="272" spans="1:7" hidden="1" x14ac:dyDescent="0.25">
      <c r="A272" t="s">
        <v>76</v>
      </c>
      <c r="B272" t="s">
        <v>6</v>
      </c>
      <c r="C272" t="s">
        <v>7</v>
      </c>
      <c r="D272" t="s">
        <v>322</v>
      </c>
      <c r="E272" s="2">
        <v>43336.301585648151</v>
      </c>
      <c r="F272" s="2" t="s">
        <v>507</v>
      </c>
      <c r="G272" s="2" t="s">
        <v>507</v>
      </c>
    </row>
    <row r="273" spans="1:7" hidden="1" x14ac:dyDescent="0.25">
      <c r="A273" t="s">
        <v>331</v>
      </c>
      <c r="B273" t="s">
        <v>6</v>
      </c>
      <c r="C273" t="s">
        <v>7</v>
      </c>
      <c r="D273" t="s">
        <v>10</v>
      </c>
      <c r="E273" s="2">
        <v>43336.301574074074</v>
      </c>
      <c r="F273" s="2" t="s">
        <v>574</v>
      </c>
      <c r="G273" s="2" t="s">
        <v>491</v>
      </c>
    </row>
    <row r="274" spans="1:7" hidden="1" x14ac:dyDescent="0.25">
      <c r="A274" t="s">
        <v>97</v>
      </c>
      <c r="B274" t="s">
        <v>6</v>
      </c>
      <c r="C274" t="s">
        <v>7</v>
      </c>
      <c r="D274" t="s">
        <v>13</v>
      </c>
      <c r="E274" s="2">
        <v>43336.301064814812</v>
      </c>
      <c r="F274" s="2" t="s">
        <v>497</v>
      </c>
      <c r="G274" s="2" t="s">
        <v>497</v>
      </c>
    </row>
    <row r="275" spans="1:7" hidden="1" x14ac:dyDescent="0.25">
      <c r="A275" t="s">
        <v>348</v>
      </c>
      <c r="B275" t="s">
        <v>6</v>
      </c>
      <c r="C275" t="s">
        <v>7</v>
      </c>
      <c r="D275" t="s">
        <v>10</v>
      </c>
      <c r="E275" s="2">
        <v>43336.300949074073</v>
      </c>
      <c r="F275" s="2" t="s">
        <v>573</v>
      </c>
      <c r="G275" s="2" t="s">
        <v>491</v>
      </c>
    </row>
    <row r="276" spans="1:7" hidden="1" x14ac:dyDescent="0.25">
      <c r="A276" t="s">
        <v>397</v>
      </c>
      <c r="B276" t="s">
        <v>6</v>
      </c>
      <c r="C276" t="s">
        <v>7</v>
      </c>
      <c r="D276" t="s">
        <v>10</v>
      </c>
      <c r="E276" s="2">
        <v>43336.300902777781</v>
      </c>
      <c r="F276" s="2" t="s">
        <v>490</v>
      </c>
      <c r="G276" s="2" t="s">
        <v>491</v>
      </c>
    </row>
    <row r="277" spans="1:7" hidden="1" x14ac:dyDescent="0.25">
      <c r="A277" t="s">
        <v>389</v>
      </c>
      <c r="B277" t="s">
        <v>6</v>
      </c>
      <c r="C277" t="s">
        <v>7</v>
      </c>
      <c r="D277" t="s">
        <v>10</v>
      </c>
      <c r="E277" s="2">
        <v>43336.30028935185</v>
      </c>
      <c r="F277" s="2" t="s">
        <v>490</v>
      </c>
      <c r="G277" s="2" t="s">
        <v>497</v>
      </c>
    </row>
    <row r="278" spans="1:7" hidden="1" x14ac:dyDescent="0.25">
      <c r="A278" t="s">
        <v>208</v>
      </c>
      <c r="B278" t="s">
        <v>6</v>
      </c>
      <c r="C278" t="s">
        <v>7</v>
      </c>
      <c r="D278" t="s">
        <v>73</v>
      </c>
      <c r="E278" s="2">
        <v>43336.300254629627</v>
      </c>
      <c r="F278" s="2" t="s">
        <v>497</v>
      </c>
      <c r="G278" s="2" t="s">
        <v>497</v>
      </c>
    </row>
    <row r="279" spans="1:7" hidden="1" x14ac:dyDescent="0.25">
      <c r="A279" t="s">
        <v>41</v>
      </c>
      <c r="B279" t="s">
        <v>6</v>
      </c>
      <c r="C279" t="s">
        <v>7</v>
      </c>
      <c r="D279" t="s">
        <v>10</v>
      </c>
      <c r="E279" s="2">
        <v>43336.300219907411</v>
      </c>
      <c r="F279" s="2" t="s">
        <v>513</v>
      </c>
      <c r="G279" s="2" t="s">
        <v>513</v>
      </c>
    </row>
    <row r="280" spans="1:7" hidden="1" x14ac:dyDescent="0.25">
      <c r="A280" t="s">
        <v>123</v>
      </c>
      <c r="B280" t="s">
        <v>6</v>
      </c>
      <c r="C280" t="s">
        <v>7</v>
      </c>
      <c r="D280" t="s">
        <v>73</v>
      </c>
      <c r="E280" s="2">
        <v>43336.29959490741</v>
      </c>
      <c r="F280" s="2" t="s">
        <v>513</v>
      </c>
      <c r="G280" s="2" t="s">
        <v>513</v>
      </c>
    </row>
    <row r="281" spans="1:7" hidden="1" x14ac:dyDescent="0.25">
      <c r="A281" t="s">
        <v>419</v>
      </c>
      <c r="B281" t="s">
        <v>6</v>
      </c>
      <c r="C281" t="s">
        <v>7</v>
      </c>
      <c r="D281" t="s">
        <v>10</v>
      </c>
      <c r="E281" s="2">
        <v>43336.295613425929</v>
      </c>
      <c r="F281" s="2" t="s">
        <v>490</v>
      </c>
      <c r="G281" s="2" t="s">
        <v>497</v>
      </c>
    </row>
    <row r="282" spans="1:7" hidden="1" x14ac:dyDescent="0.25">
      <c r="A282" t="s">
        <v>417</v>
      </c>
      <c r="B282" t="s">
        <v>6</v>
      </c>
      <c r="C282" t="s">
        <v>7</v>
      </c>
      <c r="D282" t="s">
        <v>10</v>
      </c>
      <c r="E282" s="2">
        <v>43336.294988425929</v>
      </c>
      <c r="F282" s="2" t="s">
        <v>490</v>
      </c>
      <c r="G282" s="2" t="s">
        <v>497</v>
      </c>
    </row>
    <row r="283" spans="1:7" hidden="1" x14ac:dyDescent="0.25">
      <c r="A283" t="s">
        <v>424</v>
      </c>
      <c r="B283" t="s">
        <v>6</v>
      </c>
      <c r="C283" t="s">
        <v>7</v>
      </c>
      <c r="D283" t="s">
        <v>73</v>
      </c>
      <c r="E283" s="2">
        <v>43336.294351851851</v>
      </c>
      <c r="F283" s="2" t="s">
        <v>554</v>
      </c>
      <c r="G283" s="2" t="s">
        <v>497</v>
      </c>
    </row>
    <row r="284" spans="1:7" hidden="1" x14ac:dyDescent="0.25">
      <c r="A284" t="s">
        <v>423</v>
      </c>
      <c r="B284" t="s">
        <v>6</v>
      </c>
      <c r="C284" t="s">
        <v>7</v>
      </c>
      <c r="D284" t="s">
        <v>484</v>
      </c>
      <c r="E284" s="2">
        <v>43336.293032407404</v>
      </c>
      <c r="F284" s="2" t="s">
        <v>554</v>
      </c>
      <c r="G284" s="2" t="s">
        <v>497</v>
      </c>
    </row>
    <row r="285" spans="1:7" hidden="1" x14ac:dyDescent="0.25">
      <c r="A285" t="s">
        <v>308</v>
      </c>
      <c r="B285" t="s">
        <v>6</v>
      </c>
      <c r="C285" t="s">
        <v>7</v>
      </c>
      <c r="D285" t="s">
        <v>484</v>
      </c>
      <c r="E285" s="2">
        <v>43336.291527777779</v>
      </c>
      <c r="F285" s="2" t="s">
        <v>554</v>
      </c>
      <c r="G285" s="2" t="s">
        <v>497</v>
      </c>
    </row>
    <row r="286" spans="1:7" hidden="1" x14ac:dyDescent="0.25">
      <c r="A286" t="s">
        <v>333</v>
      </c>
      <c r="B286" t="s">
        <v>6</v>
      </c>
      <c r="C286" t="s">
        <v>7</v>
      </c>
      <c r="D286" t="s">
        <v>484</v>
      </c>
      <c r="E286" s="2">
        <v>43336.29010416667</v>
      </c>
      <c r="F286" s="2" t="s">
        <v>554</v>
      </c>
      <c r="G286" s="2" t="s">
        <v>497</v>
      </c>
    </row>
    <row r="287" spans="1:7" hidden="1" x14ac:dyDescent="0.25">
      <c r="A287" t="s">
        <v>388</v>
      </c>
      <c r="B287" t="s">
        <v>6</v>
      </c>
      <c r="C287" t="s">
        <v>7</v>
      </c>
      <c r="D287" t="s">
        <v>484</v>
      </c>
      <c r="E287" s="2">
        <v>43336.288680555554</v>
      </c>
      <c r="F287" s="2" t="s">
        <v>554</v>
      </c>
      <c r="G287" s="2" t="s">
        <v>497</v>
      </c>
    </row>
    <row r="288" spans="1:7" hidden="1" x14ac:dyDescent="0.25">
      <c r="A288" t="s">
        <v>394</v>
      </c>
      <c r="B288" t="s">
        <v>6</v>
      </c>
      <c r="C288" t="s">
        <v>7</v>
      </c>
      <c r="D288" t="s">
        <v>10</v>
      </c>
      <c r="E288" s="2">
        <v>43336.288368055553</v>
      </c>
      <c r="F288" s="2" t="s">
        <v>490</v>
      </c>
      <c r="G288" s="2" t="s">
        <v>491</v>
      </c>
    </row>
    <row r="289" spans="1:7" hidden="1" x14ac:dyDescent="0.25">
      <c r="A289" t="s">
        <v>393</v>
      </c>
      <c r="B289" t="s">
        <v>6</v>
      </c>
      <c r="C289" t="s">
        <v>7</v>
      </c>
      <c r="D289" t="s">
        <v>10</v>
      </c>
      <c r="E289" s="2">
        <v>43336.287754629629</v>
      </c>
      <c r="F289" s="2" t="s">
        <v>490</v>
      </c>
      <c r="G289" s="2" t="s">
        <v>491</v>
      </c>
    </row>
    <row r="290" spans="1:7" hidden="1" x14ac:dyDescent="0.25">
      <c r="A290" t="s">
        <v>83</v>
      </c>
      <c r="B290" t="s">
        <v>6</v>
      </c>
      <c r="C290" t="s">
        <v>7</v>
      </c>
      <c r="D290" t="s">
        <v>10</v>
      </c>
      <c r="E290" s="2">
        <v>43336.287523148145</v>
      </c>
      <c r="F290" s="2" t="s">
        <v>513</v>
      </c>
      <c r="G290" s="2" t="s">
        <v>513</v>
      </c>
    </row>
    <row r="291" spans="1:7" hidden="1" x14ac:dyDescent="0.25">
      <c r="A291" t="s">
        <v>422</v>
      </c>
      <c r="B291" t="s">
        <v>6</v>
      </c>
      <c r="C291" t="s">
        <v>7</v>
      </c>
      <c r="D291" t="s">
        <v>484</v>
      </c>
      <c r="E291" s="2">
        <v>43336.287245370368</v>
      </c>
      <c r="F291" s="2" t="s">
        <v>554</v>
      </c>
      <c r="G291" s="2" t="s">
        <v>497</v>
      </c>
    </row>
    <row r="292" spans="1:7" hidden="1" x14ac:dyDescent="0.25">
      <c r="A292" t="s">
        <v>392</v>
      </c>
      <c r="B292" t="s">
        <v>6</v>
      </c>
      <c r="C292" t="s">
        <v>7</v>
      </c>
      <c r="D292" t="s">
        <v>8</v>
      </c>
      <c r="E292" s="2">
        <v>43336.287106481483</v>
      </c>
      <c r="F292" s="2" t="s">
        <v>490</v>
      </c>
      <c r="G292" s="2" t="s">
        <v>491</v>
      </c>
    </row>
    <row r="293" spans="1:7" hidden="1" x14ac:dyDescent="0.25">
      <c r="A293" t="s">
        <v>84</v>
      </c>
      <c r="B293" t="s">
        <v>6</v>
      </c>
      <c r="C293" t="s">
        <v>7</v>
      </c>
      <c r="D293" t="s">
        <v>10</v>
      </c>
      <c r="E293" s="2">
        <v>43336.286886574075</v>
      </c>
      <c r="F293" s="2" t="s">
        <v>513</v>
      </c>
      <c r="G293" s="2" t="s">
        <v>513</v>
      </c>
    </row>
    <row r="294" spans="1:7" hidden="1" x14ac:dyDescent="0.25">
      <c r="A294" t="s">
        <v>346</v>
      </c>
      <c r="B294" t="s">
        <v>6</v>
      </c>
      <c r="C294" t="s">
        <v>7</v>
      </c>
      <c r="D294" t="s">
        <v>10</v>
      </c>
      <c r="E294" s="2">
        <v>43336.286365740743</v>
      </c>
      <c r="F294" s="2" t="s">
        <v>570</v>
      </c>
      <c r="G294" s="2" t="s">
        <v>491</v>
      </c>
    </row>
    <row r="295" spans="1:7" hidden="1" x14ac:dyDescent="0.25">
      <c r="A295" t="s">
        <v>85</v>
      </c>
      <c r="B295" t="s">
        <v>6</v>
      </c>
      <c r="C295" t="s">
        <v>7</v>
      </c>
      <c r="D295" t="s">
        <v>13</v>
      </c>
      <c r="E295" s="2">
        <v>43336.286238425928</v>
      </c>
      <c r="F295" s="2" t="s">
        <v>513</v>
      </c>
      <c r="G295" s="2" t="s">
        <v>513</v>
      </c>
    </row>
    <row r="296" spans="1:7" hidden="1" x14ac:dyDescent="0.25">
      <c r="A296" t="s">
        <v>330</v>
      </c>
      <c r="B296" t="s">
        <v>6</v>
      </c>
      <c r="C296" t="s">
        <v>7</v>
      </c>
      <c r="D296" t="s">
        <v>73</v>
      </c>
      <c r="E296" s="2">
        <v>43336.285833333335</v>
      </c>
      <c r="F296" s="2" t="s">
        <v>554</v>
      </c>
      <c r="G296" s="2" t="s">
        <v>497</v>
      </c>
    </row>
    <row r="297" spans="1:7" hidden="1" x14ac:dyDescent="0.25">
      <c r="A297" t="s">
        <v>345</v>
      </c>
      <c r="B297" t="s">
        <v>6</v>
      </c>
      <c r="C297" t="s">
        <v>7</v>
      </c>
      <c r="D297" t="s">
        <v>10</v>
      </c>
      <c r="E297" s="2">
        <v>43336.285763888889</v>
      </c>
      <c r="F297" s="2" t="s">
        <v>571</v>
      </c>
      <c r="G297" s="2" t="s">
        <v>491</v>
      </c>
    </row>
    <row r="298" spans="1:7" hidden="1" x14ac:dyDescent="0.25">
      <c r="A298" t="s">
        <v>386</v>
      </c>
      <c r="B298" t="s">
        <v>6</v>
      </c>
      <c r="C298" t="s">
        <v>7</v>
      </c>
      <c r="D298" t="s">
        <v>8</v>
      </c>
      <c r="E298" s="2">
        <v>43336.285682870373</v>
      </c>
      <c r="F298" s="2" t="s">
        <v>490</v>
      </c>
      <c r="G298" s="2" t="s">
        <v>491</v>
      </c>
    </row>
    <row r="299" spans="1:7" hidden="1" x14ac:dyDescent="0.25">
      <c r="A299" t="s">
        <v>116</v>
      </c>
      <c r="B299" t="s">
        <v>6</v>
      </c>
      <c r="C299" t="s">
        <v>7</v>
      </c>
      <c r="D299" t="s">
        <v>13</v>
      </c>
      <c r="E299" s="2">
        <v>43336.285405092596</v>
      </c>
      <c r="F299" s="2" t="s">
        <v>513</v>
      </c>
      <c r="G299" s="2" t="s">
        <v>513</v>
      </c>
    </row>
    <row r="300" spans="1:7" hidden="1" x14ac:dyDescent="0.25">
      <c r="A300" t="s">
        <v>344</v>
      </c>
      <c r="B300" t="s">
        <v>6</v>
      </c>
      <c r="C300" t="s">
        <v>7</v>
      </c>
      <c r="D300" t="s">
        <v>10</v>
      </c>
      <c r="E300" s="2">
        <v>43336.285138888888</v>
      </c>
      <c r="F300" s="2" t="s">
        <v>569</v>
      </c>
      <c r="G300" s="2" t="s">
        <v>491</v>
      </c>
    </row>
    <row r="301" spans="1:7" hidden="1" x14ac:dyDescent="0.25">
      <c r="A301" t="s">
        <v>86</v>
      </c>
      <c r="B301" t="s">
        <v>6</v>
      </c>
      <c r="C301" t="s">
        <v>7</v>
      </c>
      <c r="D301" t="s">
        <v>13</v>
      </c>
      <c r="E301" s="2">
        <v>43336.284618055557</v>
      </c>
      <c r="F301" s="2" t="s">
        <v>513</v>
      </c>
      <c r="G301" s="2" t="s">
        <v>513</v>
      </c>
    </row>
    <row r="302" spans="1:7" hidden="1" x14ac:dyDescent="0.25">
      <c r="A302" t="s">
        <v>425</v>
      </c>
      <c r="B302" t="s">
        <v>6</v>
      </c>
      <c r="C302" t="s">
        <v>7</v>
      </c>
      <c r="D302" t="s">
        <v>484</v>
      </c>
      <c r="E302" s="2">
        <v>43336.284537037034</v>
      </c>
      <c r="F302" s="2" t="s">
        <v>554</v>
      </c>
      <c r="G302" s="2" t="s">
        <v>497</v>
      </c>
    </row>
    <row r="303" spans="1:7" hidden="1" x14ac:dyDescent="0.25">
      <c r="A303" t="s">
        <v>343</v>
      </c>
      <c r="B303" t="s">
        <v>6</v>
      </c>
      <c r="C303" t="s">
        <v>7</v>
      </c>
      <c r="D303" t="s">
        <v>10</v>
      </c>
      <c r="E303" s="2">
        <v>43336.284513888888</v>
      </c>
      <c r="F303" s="2" t="s">
        <v>567</v>
      </c>
      <c r="G303" s="2" t="s">
        <v>491</v>
      </c>
    </row>
    <row r="304" spans="1:7" hidden="1" x14ac:dyDescent="0.25">
      <c r="A304" t="s">
        <v>364</v>
      </c>
      <c r="B304" t="s">
        <v>6</v>
      </c>
      <c r="C304" t="s">
        <v>7</v>
      </c>
      <c r="D304" t="s">
        <v>8</v>
      </c>
      <c r="E304" s="2">
        <v>43336.284143518518</v>
      </c>
      <c r="F304" s="2" t="s">
        <v>490</v>
      </c>
      <c r="G304" s="2" t="s">
        <v>491</v>
      </c>
    </row>
    <row r="305" spans="1:7" hidden="1" x14ac:dyDescent="0.25">
      <c r="A305" t="s">
        <v>375</v>
      </c>
      <c r="B305" t="s">
        <v>6</v>
      </c>
      <c r="C305" t="s">
        <v>7</v>
      </c>
      <c r="D305" t="s">
        <v>10</v>
      </c>
      <c r="E305" s="2">
        <v>43336.283865740741</v>
      </c>
      <c r="F305" s="2" t="s">
        <v>566</v>
      </c>
      <c r="G305" s="2" t="s">
        <v>491</v>
      </c>
    </row>
    <row r="306" spans="1:7" hidden="1" x14ac:dyDescent="0.25">
      <c r="A306" t="s">
        <v>283</v>
      </c>
      <c r="B306" t="s">
        <v>6</v>
      </c>
      <c r="C306" t="s">
        <v>7</v>
      </c>
      <c r="D306" t="s">
        <v>13</v>
      </c>
      <c r="E306" s="2">
        <v>43336.283796296295</v>
      </c>
      <c r="F306" s="2" t="s">
        <v>513</v>
      </c>
      <c r="G306" s="2" t="s">
        <v>513</v>
      </c>
    </row>
    <row r="307" spans="1:7" hidden="1" x14ac:dyDescent="0.25">
      <c r="A307" t="s">
        <v>374</v>
      </c>
      <c r="B307" t="s">
        <v>6</v>
      </c>
      <c r="C307" t="s">
        <v>7</v>
      </c>
      <c r="D307" t="s">
        <v>10</v>
      </c>
      <c r="E307" s="2">
        <v>43336.28324074074</v>
      </c>
      <c r="F307" s="2" t="s">
        <v>564</v>
      </c>
      <c r="G307" s="2" t="s">
        <v>491</v>
      </c>
    </row>
    <row r="308" spans="1:7" hidden="1" x14ac:dyDescent="0.25">
      <c r="A308" t="s">
        <v>356</v>
      </c>
      <c r="B308" t="s">
        <v>6</v>
      </c>
      <c r="C308" t="s">
        <v>7</v>
      </c>
      <c r="D308" t="s">
        <v>484</v>
      </c>
      <c r="E308" s="2">
        <v>43336.283078703702</v>
      </c>
      <c r="F308" s="2" t="s">
        <v>554</v>
      </c>
      <c r="G308" s="2" t="s">
        <v>497</v>
      </c>
    </row>
    <row r="309" spans="1:7" hidden="1" x14ac:dyDescent="0.25">
      <c r="A309" t="s">
        <v>5</v>
      </c>
      <c r="B309" t="s">
        <v>6</v>
      </c>
      <c r="C309" t="s">
        <v>7</v>
      </c>
      <c r="D309" t="s">
        <v>484</v>
      </c>
      <c r="E309" s="2">
        <v>43336.283020833333</v>
      </c>
      <c r="F309" s="2" t="s">
        <v>513</v>
      </c>
      <c r="G309" s="2" t="s">
        <v>513</v>
      </c>
    </row>
    <row r="310" spans="1:7" hidden="1" x14ac:dyDescent="0.25">
      <c r="A310" t="s">
        <v>373</v>
      </c>
      <c r="B310" t="s">
        <v>6</v>
      </c>
      <c r="C310" t="s">
        <v>7</v>
      </c>
      <c r="D310" t="s">
        <v>10</v>
      </c>
      <c r="E310" s="2">
        <v>43336.282627314817</v>
      </c>
      <c r="F310" s="2" t="s">
        <v>563</v>
      </c>
      <c r="G310" s="2" t="s">
        <v>491</v>
      </c>
    </row>
    <row r="311" spans="1:7" hidden="1" x14ac:dyDescent="0.25">
      <c r="A311" t="s">
        <v>372</v>
      </c>
      <c r="B311" t="s">
        <v>6</v>
      </c>
      <c r="C311" t="s">
        <v>7</v>
      </c>
      <c r="D311" t="s">
        <v>10</v>
      </c>
      <c r="E311" s="2">
        <v>43336.282013888886</v>
      </c>
      <c r="F311" s="2" t="s">
        <v>490</v>
      </c>
      <c r="G311" s="2" t="s">
        <v>491</v>
      </c>
    </row>
    <row r="312" spans="1:7" hidden="1" x14ac:dyDescent="0.25">
      <c r="A312" t="s">
        <v>78</v>
      </c>
      <c r="B312" t="s">
        <v>6</v>
      </c>
      <c r="C312" t="s">
        <v>7</v>
      </c>
      <c r="D312" t="s">
        <v>8</v>
      </c>
      <c r="E312" s="2">
        <v>43336.281724537039</v>
      </c>
      <c r="F312" s="2" t="s">
        <v>558</v>
      </c>
      <c r="G312" s="2" t="s">
        <v>559</v>
      </c>
    </row>
    <row r="313" spans="1:7" hidden="1" x14ac:dyDescent="0.25">
      <c r="A313" t="s">
        <v>321</v>
      </c>
      <c r="B313" t="s">
        <v>6</v>
      </c>
      <c r="C313" t="s">
        <v>7</v>
      </c>
      <c r="D313" t="s">
        <v>13</v>
      </c>
      <c r="E313" s="2">
        <v>43336.281585648147</v>
      </c>
      <c r="F313" s="2" t="s">
        <v>554</v>
      </c>
      <c r="G313" s="2" t="s">
        <v>497</v>
      </c>
    </row>
    <row r="314" spans="1:7" hidden="1" x14ac:dyDescent="0.25">
      <c r="A314" t="s">
        <v>9</v>
      </c>
      <c r="B314" t="s">
        <v>6</v>
      </c>
      <c r="C314" t="s">
        <v>7</v>
      </c>
      <c r="D314" t="s">
        <v>13</v>
      </c>
      <c r="E314" s="2">
        <v>43336.281574074077</v>
      </c>
      <c r="F314" s="2" t="s">
        <v>494</v>
      </c>
      <c r="G314" s="2" t="s">
        <v>533</v>
      </c>
    </row>
    <row r="315" spans="1:7" hidden="1" x14ac:dyDescent="0.25">
      <c r="A315" t="s">
        <v>371</v>
      </c>
      <c r="B315" t="s">
        <v>6</v>
      </c>
      <c r="C315" t="s">
        <v>7</v>
      </c>
      <c r="D315" t="s">
        <v>8</v>
      </c>
      <c r="E315" s="2">
        <v>43336.281388888892</v>
      </c>
      <c r="F315" s="2" t="s">
        <v>490</v>
      </c>
      <c r="G315" s="2" t="s">
        <v>491</v>
      </c>
    </row>
    <row r="316" spans="1:7" hidden="1" x14ac:dyDescent="0.25">
      <c r="A316" t="s">
        <v>383</v>
      </c>
      <c r="B316" t="s">
        <v>6</v>
      </c>
      <c r="C316" t="s">
        <v>7</v>
      </c>
      <c r="D316" t="s">
        <v>484</v>
      </c>
      <c r="E316" s="2">
        <v>43336.280763888892</v>
      </c>
      <c r="F316" s="2" t="s">
        <v>554</v>
      </c>
      <c r="G316" s="2" t="s">
        <v>497</v>
      </c>
    </row>
    <row r="317" spans="1:7" hidden="1" x14ac:dyDescent="0.25">
      <c r="A317" t="s">
        <v>11</v>
      </c>
      <c r="B317" t="s">
        <v>6</v>
      </c>
      <c r="C317" t="s">
        <v>7</v>
      </c>
      <c r="D317" t="s">
        <v>10</v>
      </c>
      <c r="E317" s="2">
        <v>43336.280752314815</v>
      </c>
      <c r="F317" s="2" t="s">
        <v>494</v>
      </c>
      <c r="G317" s="2" t="s">
        <v>533</v>
      </c>
    </row>
    <row r="318" spans="1:7" hidden="1" x14ac:dyDescent="0.25">
      <c r="A318" t="s">
        <v>12</v>
      </c>
      <c r="B318" t="s">
        <v>6</v>
      </c>
      <c r="C318" t="s">
        <v>7</v>
      </c>
      <c r="D318" t="s">
        <v>10</v>
      </c>
      <c r="E318" s="2">
        <v>43336.280115740738</v>
      </c>
      <c r="F318" s="2" t="s">
        <v>494</v>
      </c>
      <c r="G318" s="2" t="s">
        <v>492</v>
      </c>
    </row>
    <row r="319" spans="1:7" hidden="1" x14ac:dyDescent="0.25">
      <c r="A319" t="s">
        <v>368</v>
      </c>
      <c r="B319" t="s">
        <v>6</v>
      </c>
      <c r="C319" t="s">
        <v>7</v>
      </c>
      <c r="D319" t="s">
        <v>10</v>
      </c>
      <c r="E319" s="2">
        <v>43336.279930555553</v>
      </c>
      <c r="F319" s="2" t="s">
        <v>490</v>
      </c>
      <c r="G319" s="2" t="s">
        <v>491</v>
      </c>
    </row>
    <row r="320" spans="1:7" hidden="1" x14ac:dyDescent="0.25">
      <c r="A320" t="s">
        <v>233</v>
      </c>
      <c r="B320" t="s">
        <v>6</v>
      </c>
      <c r="C320" t="s">
        <v>7</v>
      </c>
      <c r="D320" t="s">
        <v>13</v>
      </c>
      <c r="E320" s="2">
        <v>43336.279456018521</v>
      </c>
      <c r="F320" s="2" t="s">
        <v>511</v>
      </c>
      <c r="G320" s="2" t="s">
        <v>537</v>
      </c>
    </row>
    <row r="321" spans="1:7" hidden="1" x14ac:dyDescent="0.25">
      <c r="A321" t="s">
        <v>329</v>
      </c>
      <c r="B321" t="s">
        <v>6</v>
      </c>
      <c r="C321" t="s">
        <v>7</v>
      </c>
      <c r="D321" t="s">
        <v>484</v>
      </c>
      <c r="E321" s="2">
        <v>43336.279305555552</v>
      </c>
      <c r="F321" s="2" t="s">
        <v>554</v>
      </c>
      <c r="G321" s="2" t="s">
        <v>497</v>
      </c>
    </row>
    <row r="322" spans="1:7" hidden="1" x14ac:dyDescent="0.25">
      <c r="A322" t="s">
        <v>367</v>
      </c>
      <c r="B322" t="s">
        <v>6</v>
      </c>
      <c r="C322" t="s">
        <v>7</v>
      </c>
      <c r="D322" t="s">
        <v>10</v>
      </c>
      <c r="E322" s="2">
        <v>43336.279305555552</v>
      </c>
      <c r="F322" s="2" t="s">
        <v>490</v>
      </c>
      <c r="G322" s="2" t="s">
        <v>491</v>
      </c>
    </row>
    <row r="323" spans="1:7" hidden="1" x14ac:dyDescent="0.25">
      <c r="A323" t="s">
        <v>14</v>
      </c>
      <c r="B323" t="s">
        <v>6</v>
      </c>
      <c r="C323" t="s">
        <v>7</v>
      </c>
      <c r="D323" t="s">
        <v>13</v>
      </c>
      <c r="E323" s="2">
        <v>43336.278703703705</v>
      </c>
      <c r="F323" s="2" t="s">
        <v>511</v>
      </c>
      <c r="G323" s="2" t="s">
        <v>540</v>
      </c>
    </row>
    <row r="324" spans="1:7" hidden="1" x14ac:dyDescent="0.25">
      <c r="A324" t="s">
        <v>370</v>
      </c>
      <c r="B324" t="s">
        <v>6</v>
      </c>
      <c r="C324" t="s">
        <v>7</v>
      </c>
      <c r="D324" t="s">
        <v>10</v>
      </c>
      <c r="E324" s="2">
        <v>43336.278680555559</v>
      </c>
      <c r="F324" s="2" t="s">
        <v>490</v>
      </c>
      <c r="G324" s="2" t="s">
        <v>491</v>
      </c>
    </row>
    <row r="325" spans="1:7" hidden="1" x14ac:dyDescent="0.25">
      <c r="A325" t="s">
        <v>317</v>
      </c>
      <c r="B325" t="s">
        <v>6</v>
      </c>
      <c r="C325" t="s">
        <v>7</v>
      </c>
      <c r="D325" t="s">
        <v>27</v>
      </c>
      <c r="E325" s="2">
        <v>43336.278078703705</v>
      </c>
      <c r="F325" s="2" t="s">
        <v>490</v>
      </c>
      <c r="G325" s="2" t="s">
        <v>491</v>
      </c>
    </row>
    <row r="326" spans="1:7" hidden="1" x14ac:dyDescent="0.25">
      <c r="A326" t="s">
        <v>17</v>
      </c>
      <c r="B326" t="s">
        <v>6</v>
      </c>
      <c r="C326" t="s">
        <v>7</v>
      </c>
      <c r="D326" t="s">
        <v>10</v>
      </c>
      <c r="E326" s="2">
        <v>43336.277916666666</v>
      </c>
      <c r="F326" s="2" t="s">
        <v>494</v>
      </c>
      <c r="G326" s="2" t="s">
        <v>492</v>
      </c>
    </row>
    <row r="327" spans="1:7" hidden="1" x14ac:dyDescent="0.25">
      <c r="A327" t="s">
        <v>380</v>
      </c>
      <c r="B327" t="s">
        <v>6</v>
      </c>
      <c r="C327" t="s">
        <v>7</v>
      </c>
      <c r="D327" t="s">
        <v>484</v>
      </c>
      <c r="E327" s="2">
        <v>43336.277858796297</v>
      </c>
      <c r="F327" s="2" t="s">
        <v>554</v>
      </c>
      <c r="G327" s="2" t="s">
        <v>497</v>
      </c>
    </row>
    <row r="328" spans="1:7" hidden="1" x14ac:dyDescent="0.25">
      <c r="A328" t="s">
        <v>342</v>
      </c>
      <c r="B328" t="s">
        <v>6</v>
      </c>
      <c r="C328" t="s">
        <v>7</v>
      </c>
      <c r="D328" t="s">
        <v>10</v>
      </c>
      <c r="E328" s="2">
        <v>43336.277326388888</v>
      </c>
      <c r="F328" s="2" t="s">
        <v>490</v>
      </c>
      <c r="G328" s="2" t="s">
        <v>491</v>
      </c>
    </row>
    <row r="329" spans="1:7" hidden="1" x14ac:dyDescent="0.25">
      <c r="A329" t="s">
        <v>182</v>
      </c>
      <c r="B329" t="s">
        <v>6</v>
      </c>
      <c r="C329" t="s">
        <v>7</v>
      </c>
      <c r="D329" t="s">
        <v>27</v>
      </c>
      <c r="E329" s="2">
        <v>43336.277268518519</v>
      </c>
      <c r="F329" s="2" t="s">
        <v>494</v>
      </c>
      <c r="G329" s="2" t="s">
        <v>492</v>
      </c>
    </row>
    <row r="330" spans="1:7" hidden="1" x14ac:dyDescent="0.25">
      <c r="A330" t="s">
        <v>341</v>
      </c>
      <c r="B330" t="s">
        <v>6</v>
      </c>
      <c r="C330" t="s">
        <v>7</v>
      </c>
      <c r="D330" t="s">
        <v>8</v>
      </c>
      <c r="E330" s="2">
        <v>43336.276666666665</v>
      </c>
      <c r="F330" s="2" t="s">
        <v>490</v>
      </c>
      <c r="G330" s="2" t="s">
        <v>491</v>
      </c>
    </row>
    <row r="331" spans="1:7" hidden="1" x14ac:dyDescent="0.25">
      <c r="A331" t="s">
        <v>18</v>
      </c>
      <c r="B331" t="s">
        <v>6</v>
      </c>
      <c r="C331" t="s">
        <v>7</v>
      </c>
      <c r="D331" t="s">
        <v>8</v>
      </c>
      <c r="E331" s="2">
        <v>43336.27648148148</v>
      </c>
      <c r="F331" s="2" t="s">
        <v>494</v>
      </c>
      <c r="G331" s="2" t="s">
        <v>492</v>
      </c>
    </row>
    <row r="332" spans="1:7" hidden="1" x14ac:dyDescent="0.25">
      <c r="A332" t="s">
        <v>401</v>
      </c>
      <c r="B332" t="s">
        <v>6</v>
      </c>
      <c r="C332" t="s">
        <v>7</v>
      </c>
      <c r="D332" t="s">
        <v>484</v>
      </c>
      <c r="E332" s="2">
        <v>43336.276354166665</v>
      </c>
      <c r="F332" s="2" t="s">
        <v>554</v>
      </c>
      <c r="G332" s="2" t="s">
        <v>497</v>
      </c>
    </row>
    <row r="333" spans="1:7" hidden="1" x14ac:dyDescent="0.25">
      <c r="A333" t="s">
        <v>362</v>
      </c>
      <c r="B333" t="s">
        <v>6</v>
      </c>
      <c r="C333" t="s">
        <v>7</v>
      </c>
      <c r="D333" t="s">
        <v>10</v>
      </c>
      <c r="E333" s="2">
        <v>43336.275208333333</v>
      </c>
      <c r="F333" s="2" t="s">
        <v>490</v>
      </c>
      <c r="G333" s="2" t="s">
        <v>491</v>
      </c>
    </row>
    <row r="334" spans="1:7" hidden="1" x14ac:dyDescent="0.25">
      <c r="A334" t="s">
        <v>19</v>
      </c>
      <c r="B334" t="s">
        <v>6</v>
      </c>
      <c r="C334" t="s">
        <v>7</v>
      </c>
      <c r="D334" t="s">
        <v>8</v>
      </c>
      <c r="E334" s="2">
        <v>43336.274988425925</v>
      </c>
      <c r="F334" s="2" t="s">
        <v>494</v>
      </c>
      <c r="G334" s="2" t="s">
        <v>509</v>
      </c>
    </row>
    <row r="335" spans="1:7" hidden="1" x14ac:dyDescent="0.25">
      <c r="A335" t="s">
        <v>328</v>
      </c>
      <c r="B335" t="s">
        <v>6</v>
      </c>
      <c r="C335" t="s">
        <v>7</v>
      </c>
      <c r="D335" t="s">
        <v>484</v>
      </c>
      <c r="E335" s="2">
        <v>43336.274872685186</v>
      </c>
      <c r="F335" s="2" t="s">
        <v>554</v>
      </c>
      <c r="G335" s="2" t="s">
        <v>497</v>
      </c>
    </row>
    <row r="336" spans="1:7" hidden="1" x14ac:dyDescent="0.25">
      <c r="A336" t="s">
        <v>361</v>
      </c>
      <c r="B336" t="s">
        <v>6</v>
      </c>
      <c r="C336" t="s">
        <v>7</v>
      </c>
      <c r="D336" t="s">
        <v>10</v>
      </c>
      <c r="E336" s="2">
        <v>43336.274583333332</v>
      </c>
      <c r="F336" s="2" t="s">
        <v>490</v>
      </c>
      <c r="G336" s="2" t="s">
        <v>491</v>
      </c>
    </row>
    <row r="337" spans="1:7" hidden="1" x14ac:dyDescent="0.25">
      <c r="A337" t="s">
        <v>360</v>
      </c>
      <c r="B337" t="s">
        <v>6</v>
      </c>
      <c r="C337" t="s">
        <v>7</v>
      </c>
      <c r="D337" t="s">
        <v>10</v>
      </c>
      <c r="E337" s="2">
        <v>43336.273958333331</v>
      </c>
      <c r="F337" s="2" t="s">
        <v>490</v>
      </c>
      <c r="G337" s="2" t="s">
        <v>491</v>
      </c>
    </row>
    <row r="338" spans="1:7" hidden="1" x14ac:dyDescent="0.25">
      <c r="A338" t="s">
        <v>20</v>
      </c>
      <c r="B338" t="s">
        <v>6</v>
      </c>
      <c r="C338" t="s">
        <v>7</v>
      </c>
      <c r="D338" t="s">
        <v>8</v>
      </c>
      <c r="E338" s="2">
        <v>43336.273472222223</v>
      </c>
      <c r="F338" s="2" t="s">
        <v>494</v>
      </c>
      <c r="G338" s="2" t="s">
        <v>13</v>
      </c>
    </row>
    <row r="339" spans="1:7" hidden="1" x14ac:dyDescent="0.25">
      <c r="A339" t="s">
        <v>416</v>
      </c>
      <c r="B339" t="s">
        <v>6</v>
      </c>
      <c r="C339" t="s">
        <v>7</v>
      </c>
      <c r="D339" t="s">
        <v>13</v>
      </c>
      <c r="E339" s="2">
        <v>43336.273449074077</v>
      </c>
      <c r="F339" s="2" t="s">
        <v>554</v>
      </c>
      <c r="G339" s="2" t="s">
        <v>556</v>
      </c>
    </row>
    <row r="340" spans="1:7" hidden="1" x14ac:dyDescent="0.25">
      <c r="A340" t="s">
        <v>359</v>
      </c>
      <c r="B340" t="s">
        <v>6</v>
      </c>
      <c r="C340" t="s">
        <v>7</v>
      </c>
      <c r="D340" t="s">
        <v>27</v>
      </c>
      <c r="E340" s="2">
        <v>43336.273333333331</v>
      </c>
      <c r="F340" s="2" t="s">
        <v>490</v>
      </c>
      <c r="G340" s="2" t="s">
        <v>491</v>
      </c>
    </row>
    <row r="341" spans="1:7" hidden="1" x14ac:dyDescent="0.25">
      <c r="A341" t="s">
        <v>403</v>
      </c>
      <c r="B341" t="s">
        <v>6</v>
      </c>
      <c r="C341" t="s">
        <v>7</v>
      </c>
      <c r="D341" t="s">
        <v>13</v>
      </c>
      <c r="E341" s="2">
        <v>43336.27270833333</v>
      </c>
      <c r="F341" s="2" t="s">
        <v>554</v>
      </c>
      <c r="G341" s="2" t="s">
        <v>556</v>
      </c>
    </row>
    <row r="342" spans="1:7" hidden="1" x14ac:dyDescent="0.25">
      <c r="A342" t="s">
        <v>21</v>
      </c>
      <c r="B342" t="s">
        <v>6</v>
      </c>
      <c r="C342" t="s">
        <v>7</v>
      </c>
      <c r="D342" t="s">
        <v>13</v>
      </c>
      <c r="E342" s="2">
        <v>43336.272037037037</v>
      </c>
      <c r="F342" s="2" t="s">
        <v>494</v>
      </c>
      <c r="G342" s="2" t="s">
        <v>497</v>
      </c>
    </row>
    <row r="343" spans="1:7" hidden="1" x14ac:dyDescent="0.25">
      <c r="A343" t="s">
        <v>319</v>
      </c>
      <c r="B343" t="s">
        <v>6</v>
      </c>
      <c r="C343" t="s">
        <v>7</v>
      </c>
      <c r="D343" t="s">
        <v>27</v>
      </c>
      <c r="E343" s="2">
        <v>43336.272002314814</v>
      </c>
      <c r="F343" s="2" t="s">
        <v>490</v>
      </c>
      <c r="G343" s="2" t="s">
        <v>491</v>
      </c>
    </row>
    <row r="344" spans="1:7" hidden="1" x14ac:dyDescent="0.25">
      <c r="A344" t="s">
        <v>402</v>
      </c>
      <c r="B344" t="s">
        <v>6</v>
      </c>
      <c r="C344" t="s">
        <v>7</v>
      </c>
      <c r="D344" t="s">
        <v>27</v>
      </c>
      <c r="E344" s="2">
        <v>43336.271990740737</v>
      </c>
      <c r="F344" s="2" t="s">
        <v>554</v>
      </c>
      <c r="G344" s="2" t="s">
        <v>556</v>
      </c>
    </row>
    <row r="345" spans="1:7" hidden="1" x14ac:dyDescent="0.25">
      <c r="A345" t="s">
        <v>418</v>
      </c>
      <c r="B345" t="s">
        <v>6</v>
      </c>
      <c r="C345" t="s">
        <v>7</v>
      </c>
      <c r="D345" t="s">
        <v>13</v>
      </c>
      <c r="E345" s="2">
        <v>43336.271238425928</v>
      </c>
      <c r="F345" s="2" t="s">
        <v>554</v>
      </c>
      <c r="G345" s="2" t="s">
        <v>556</v>
      </c>
    </row>
    <row r="346" spans="1:7" hidden="1" x14ac:dyDescent="0.25">
      <c r="A346" t="s">
        <v>22</v>
      </c>
      <c r="B346" t="s">
        <v>6</v>
      </c>
      <c r="C346" t="s">
        <v>7</v>
      </c>
      <c r="D346" t="s">
        <v>476</v>
      </c>
      <c r="E346" s="2">
        <v>43336.271192129629</v>
      </c>
      <c r="F346" s="2" t="s">
        <v>494</v>
      </c>
      <c r="G346" s="2" t="s">
        <v>497</v>
      </c>
    </row>
    <row r="347" spans="1:7" hidden="1" x14ac:dyDescent="0.25">
      <c r="A347" t="s">
        <v>23</v>
      </c>
      <c r="B347" t="s">
        <v>6</v>
      </c>
      <c r="C347" t="s">
        <v>7</v>
      </c>
      <c r="D347" t="s">
        <v>13</v>
      </c>
      <c r="E347" s="2">
        <v>43336.270555555559</v>
      </c>
      <c r="F347" s="2" t="s">
        <v>494</v>
      </c>
      <c r="G347" s="2" t="s">
        <v>497</v>
      </c>
    </row>
    <row r="348" spans="1:7" hidden="1" x14ac:dyDescent="0.25">
      <c r="A348" t="s">
        <v>379</v>
      </c>
      <c r="B348" t="s">
        <v>6</v>
      </c>
      <c r="C348" t="s">
        <v>7</v>
      </c>
      <c r="D348" t="s">
        <v>476</v>
      </c>
      <c r="E348" s="2">
        <v>43336.270486111112</v>
      </c>
      <c r="F348" s="2" t="s">
        <v>554</v>
      </c>
      <c r="G348" s="2" t="s">
        <v>556</v>
      </c>
    </row>
    <row r="349" spans="1:7" hidden="1" x14ac:dyDescent="0.25">
      <c r="A349" t="s">
        <v>366</v>
      </c>
      <c r="B349" t="s">
        <v>6</v>
      </c>
      <c r="C349" t="s">
        <v>7</v>
      </c>
      <c r="D349" t="s">
        <v>13</v>
      </c>
      <c r="E349" s="2">
        <v>43336.269872685189</v>
      </c>
      <c r="F349" s="2" t="s">
        <v>554</v>
      </c>
      <c r="G349" s="2" t="s">
        <v>556</v>
      </c>
    </row>
    <row r="350" spans="1:7" hidden="1" x14ac:dyDescent="0.25">
      <c r="A350" t="s">
        <v>238</v>
      </c>
      <c r="B350" t="s">
        <v>6</v>
      </c>
      <c r="C350" t="s">
        <v>7</v>
      </c>
      <c r="D350" t="s">
        <v>476</v>
      </c>
      <c r="E350" s="2">
        <v>43336.269780092596</v>
      </c>
      <c r="F350" s="2" t="s">
        <v>494</v>
      </c>
      <c r="G350" s="2" t="s">
        <v>497</v>
      </c>
    </row>
    <row r="351" spans="1:7" hidden="1" x14ac:dyDescent="0.25">
      <c r="A351" t="s">
        <v>24</v>
      </c>
      <c r="B351" t="s">
        <v>6</v>
      </c>
      <c r="C351" t="s">
        <v>7</v>
      </c>
      <c r="D351" t="s">
        <v>476</v>
      </c>
      <c r="E351" s="2">
        <v>43336.269155092596</v>
      </c>
      <c r="F351" s="2" t="s">
        <v>494</v>
      </c>
      <c r="G351" s="2" t="s">
        <v>497</v>
      </c>
    </row>
    <row r="352" spans="1:7" x14ac:dyDescent="0.25">
      <c r="A352" t="s">
        <v>325</v>
      </c>
      <c r="B352" t="s">
        <v>6</v>
      </c>
      <c r="C352" t="s">
        <v>7</v>
      </c>
      <c r="D352" t="s">
        <v>10</v>
      </c>
      <c r="E352" s="2">
        <v>43336.269131944442</v>
      </c>
      <c r="F352" s="2" t="s">
        <v>554</v>
      </c>
      <c r="G352" s="2" t="s">
        <v>556</v>
      </c>
    </row>
    <row r="353" spans="1:7" hidden="1" x14ac:dyDescent="0.25">
      <c r="A353" t="s">
        <v>25</v>
      </c>
      <c r="B353" t="s">
        <v>6</v>
      </c>
      <c r="C353" t="s">
        <v>7</v>
      </c>
      <c r="D353" t="s">
        <v>476</v>
      </c>
      <c r="E353" s="2">
        <v>43336.268530092595</v>
      </c>
      <c r="F353" s="2" t="s">
        <v>494</v>
      </c>
      <c r="G353" s="2" t="s">
        <v>497</v>
      </c>
    </row>
    <row r="354" spans="1:7" x14ac:dyDescent="0.25">
      <c r="A354" t="s">
        <v>324</v>
      </c>
      <c r="B354" t="s">
        <v>6</v>
      </c>
      <c r="C354" t="s">
        <v>7</v>
      </c>
      <c r="D354" t="s">
        <v>27</v>
      </c>
      <c r="E354" s="2">
        <v>43336.268518518518</v>
      </c>
      <c r="F354" s="2" t="s">
        <v>554</v>
      </c>
      <c r="G354" s="2" t="s">
        <v>556</v>
      </c>
    </row>
    <row r="355" spans="1:7" hidden="1" x14ac:dyDescent="0.25">
      <c r="A355" t="s">
        <v>310</v>
      </c>
      <c r="B355" t="s">
        <v>6</v>
      </c>
      <c r="C355" t="s">
        <v>7</v>
      </c>
      <c r="D355" t="s">
        <v>27</v>
      </c>
      <c r="E355" s="2">
        <v>43336.268414351849</v>
      </c>
      <c r="F355" s="2" t="s">
        <v>490</v>
      </c>
      <c r="G355" s="2" t="s">
        <v>491</v>
      </c>
    </row>
    <row r="356" spans="1:7" hidden="1" x14ac:dyDescent="0.25">
      <c r="A356" t="s">
        <v>28</v>
      </c>
      <c r="B356" t="s">
        <v>6</v>
      </c>
      <c r="C356" t="s">
        <v>7</v>
      </c>
      <c r="D356" t="s">
        <v>476</v>
      </c>
      <c r="E356" s="2">
        <v>43336.267893518518</v>
      </c>
      <c r="F356" s="2" t="s">
        <v>494</v>
      </c>
      <c r="G356" s="2" t="s">
        <v>497</v>
      </c>
    </row>
    <row r="357" spans="1:7" x14ac:dyDescent="0.25">
      <c r="A357" t="s">
        <v>378</v>
      </c>
      <c r="B357" t="s">
        <v>6</v>
      </c>
      <c r="C357" t="s">
        <v>7</v>
      </c>
      <c r="D357" t="s">
        <v>10</v>
      </c>
      <c r="E357" s="2">
        <v>43336.267800925925</v>
      </c>
      <c r="F357" s="2" t="s">
        <v>554</v>
      </c>
      <c r="G357" s="2" t="s">
        <v>556</v>
      </c>
    </row>
    <row r="358" spans="1:7" hidden="1" x14ac:dyDescent="0.25">
      <c r="A358" t="s">
        <v>29</v>
      </c>
      <c r="B358" t="s">
        <v>6</v>
      </c>
      <c r="C358" t="s">
        <v>7</v>
      </c>
      <c r="D358" t="s">
        <v>476</v>
      </c>
      <c r="E358" s="2">
        <v>43336.267268518517</v>
      </c>
      <c r="F358" s="2" t="s">
        <v>494</v>
      </c>
      <c r="G358" s="2" t="s">
        <v>497</v>
      </c>
    </row>
    <row r="359" spans="1:7" hidden="1" x14ac:dyDescent="0.25">
      <c r="A359" t="s">
        <v>301</v>
      </c>
      <c r="B359" t="s">
        <v>6</v>
      </c>
      <c r="C359" t="s">
        <v>7</v>
      </c>
      <c r="D359" t="s">
        <v>10</v>
      </c>
      <c r="E359" s="2">
        <v>43336.267187500001</v>
      </c>
      <c r="F359" s="2" t="s">
        <v>513</v>
      </c>
      <c r="G359" s="2" t="s">
        <v>555</v>
      </c>
    </row>
    <row r="360" spans="1:7" hidden="1" x14ac:dyDescent="0.25">
      <c r="A360" t="s">
        <v>340</v>
      </c>
      <c r="B360" t="s">
        <v>6</v>
      </c>
      <c r="C360" t="s">
        <v>7</v>
      </c>
      <c r="D360" t="s">
        <v>476</v>
      </c>
      <c r="E360" s="2">
        <v>43336.266550925924</v>
      </c>
      <c r="F360" s="2" t="s">
        <v>548</v>
      </c>
      <c r="G360" s="2" t="s">
        <v>552</v>
      </c>
    </row>
    <row r="361" spans="1:7" hidden="1" x14ac:dyDescent="0.25">
      <c r="A361" t="s">
        <v>396</v>
      </c>
      <c r="B361" t="s">
        <v>6</v>
      </c>
      <c r="C361" t="s">
        <v>7</v>
      </c>
      <c r="D361" t="s">
        <v>13</v>
      </c>
      <c r="E361" s="2">
        <v>43336.265960648147</v>
      </c>
      <c r="F361" s="2" t="s">
        <v>548</v>
      </c>
      <c r="G361" s="2" t="s">
        <v>551</v>
      </c>
    </row>
    <row r="362" spans="1:7" hidden="1" x14ac:dyDescent="0.25">
      <c r="A362" t="s">
        <v>365</v>
      </c>
      <c r="B362" t="s">
        <v>6</v>
      </c>
      <c r="C362" t="s">
        <v>7</v>
      </c>
      <c r="D362" t="s">
        <v>13</v>
      </c>
      <c r="E362" s="2">
        <v>43336.265231481484</v>
      </c>
      <c r="F362" s="2" t="s">
        <v>548</v>
      </c>
      <c r="G362" s="2" t="s">
        <v>550</v>
      </c>
    </row>
    <row r="363" spans="1:7" hidden="1" x14ac:dyDescent="0.25">
      <c r="A363" t="s">
        <v>395</v>
      </c>
      <c r="B363" t="s">
        <v>6</v>
      </c>
      <c r="C363" t="s">
        <v>7</v>
      </c>
      <c r="D363" t="s">
        <v>13</v>
      </c>
      <c r="E363" s="2">
        <v>43336.264502314814</v>
      </c>
      <c r="F363" s="2" t="s">
        <v>548</v>
      </c>
      <c r="G363" s="2" t="s">
        <v>549</v>
      </c>
    </row>
    <row r="364" spans="1:7" hidden="1" x14ac:dyDescent="0.25">
      <c r="A364" t="s">
        <v>181</v>
      </c>
      <c r="B364" t="s">
        <v>6</v>
      </c>
      <c r="C364" t="s">
        <v>7</v>
      </c>
      <c r="D364" t="s">
        <v>13</v>
      </c>
      <c r="E364" s="2">
        <v>43336.263136574074</v>
      </c>
      <c r="F364" s="2" t="s">
        <v>497</v>
      </c>
      <c r="G364" s="2" t="s">
        <v>497</v>
      </c>
    </row>
    <row r="365" spans="1:7" hidden="1" x14ac:dyDescent="0.25">
      <c r="A365" t="s">
        <v>241</v>
      </c>
      <c r="B365" t="s">
        <v>6</v>
      </c>
      <c r="C365" t="s">
        <v>7</v>
      </c>
      <c r="D365" t="s">
        <v>10</v>
      </c>
      <c r="E365" s="2">
        <v>43336.23332175926</v>
      </c>
      <c r="F365" s="2" t="s">
        <v>498</v>
      </c>
      <c r="G365" s="2" t="s">
        <v>498</v>
      </c>
    </row>
    <row r="366" spans="1:7" hidden="1" x14ac:dyDescent="0.25">
      <c r="A366" t="s">
        <v>148</v>
      </c>
      <c r="B366" t="s">
        <v>6</v>
      </c>
      <c r="C366" t="s">
        <v>7</v>
      </c>
      <c r="D366" t="s">
        <v>10</v>
      </c>
      <c r="E366" s="2">
        <v>43336.232731481483</v>
      </c>
      <c r="F366" s="2" t="s">
        <v>498</v>
      </c>
      <c r="G366" s="2" t="s">
        <v>498</v>
      </c>
    </row>
    <row r="367" spans="1:7" hidden="1" x14ac:dyDescent="0.25">
      <c r="A367" t="s">
        <v>134</v>
      </c>
      <c r="B367" t="s">
        <v>6</v>
      </c>
      <c r="C367" t="s">
        <v>7</v>
      </c>
      <c r="D367" t="s">
        <v>10</v>
      </c>
      <c r="E367" s="2">
        <v>43336.232129629629</v>
      </c>
      <c r="F367" s="2" t="s">
        <v>498</v>
      </c>
      <c r="G367" s="2" t="s">
        <v>498</v>
      </c>
    </row>
    <row r="368" spans="1:7" hidden="1" x14ac:dyDescent="0.25">
      <c r="A368" t="s">
        <v>200</v>
      </c>
      <c r="B368" t="s">
        <v>6</v>
      </c>
      <c r="C368" t="s">
        <v>7</v>
      </c>
      <c r="D368" t="s">
        <v>10</v>
      </c>
      <c r="E368" s="2">
        <v>43336.231539351851</v>
      </c>
      <c r="F368" s="2" t="s">
        <v>498</v>
      </c>
      <c r="G368" s="2" t="s">
        <v>498</v>
      </c>
    </row>
    <row r="369" spans="1:7" hidden="1" x14ac:dyDescent="0.25">
      <c r="A369" t="s">
        <v>277</v>
      </c>
      <c r="B369" t="s">
        <v>6</v>
      </c>
      <c r="C369" t="s">
        <v>7</v>
      </c>
      <c r="D369" t="s">
        <v>476</v>
      </c>
      <c r="E369" s="2">
        <v>43336.230937499997</v>
      </c>
      <c r="F369" s="2" t="s">
        <v>498</v>
      </c>
      <c r="G369" s="2" t="s">
        <v>498</v>
      </c>
    </row>
    <row r="370" spans="1:7" hidden="1" x14ac:dyDescent="0.25">
      <c r="A370" t="s">
        <v>276</v>
      </c>
      <c r="B370" t="s">
        <v>6</v>
      </c>
      <c r="C370" t="s">
        <v>7</v>
      </c>
      <c r="D370" t="s">
        <v>10</v>
      </c>
      <c r="E370" s="2">
        <v>43336.23033564815</v>
      </c>
      <c r="F370" s="2" t="s">
        <v>502</v>
      </c>
      <c r="G370" s="2" t="s">
        <v>503</v>
      </c>
    </row>
    <row r="371" spans="1:7" hidden="1" x14ac:dyDescent="0.25">
      <c r="A371" t="s">
        <v>135</v>
      </c>
      <c r="B371" t="s">
        <v>6</v>
      </c>
      <c r="C371" t="s">
        <v>7</v>
      </c>
      <c r="D371" t="s">
        <v>10</v>
      </c>
      <c r="E371" s="2">
        <v>43336.229745370372</v>
      </c>
      <c r="F371" s="2" t="s">
        <v>502</v>
      </c>
      <c r="G371" s="2" t="s">
        <v>503</v>
      </c>
    </row>
    <row r="372" spans="1:7" hidden="1" x14ac:dyDescent="0.25">
      <c r="A372" t="s">
        <v>224</v>
      </c>
      <c r="B372" t="s">
        <v>6</v>
      </c>
      <c r="C372" t="s">
        <v>7</v>
      </c>
      <c r="D372" t="s">
        <v>484</v>
      </c>
      <c r="E372" s="2">
        <v>43336.229270833333</v>
      </c>
      <c r="F372" s="2" t="s">
        <v>13</v>
      </c>
      <c r="G372" s="2" t="s">
        <v>516</v>
      </c>
    </row>
    <row r="373" spans="1:7" hidden="1" x14ac:dyDescent="0.25">
      <c r="A373" t="s">
        <v>275</v>
      </c>
      <c r="B373" t="s">
        <v>6</v>
      </c>
      <c r="C373" t="s">
        <v>7</v>
      </c>
      <c r="D373" t="s">
        <v>476</v>
      </c>
      <c r="E373" s="2">
        <v>43336.229143518518</v>
      </c>
      <c r="F373" s="2" t="s">
        <v>505</v>
      </c>
      <c r="G373" s="2" t="s">
        <v>506</v>
      </c>
    </row>
    <row r="374" spans="1:7" hidden="1" x14ac:dyDescent="0.25">
      <c r="A374" t="s">
        <v>235</v>
      </c>
      <c r="B374" t="s">
        <v>6</v>
      </c>
      <c r="C374" t="s">
        <v>7</v>
      </c>
      <c r="D374" t="s">
        <v>10</v>
      </c>
      <c r="E374" s="2">
        <v>43336.22855324074</v>
      </c>
      <c r="F374" s="2" t="s">
        <v>508</v>
      </c>
      <c r="G374" s="2" t="s">
        <v>508</v>
      </c>
    </row>
    <row r="375" spans="1:7" hidden="1" x14ac:dyDescent="0.25">
      <c r="A375" t="s">
        <v>138</v>
      </c>
      <c r="B375" t="s">
        <v>6</v>
      </c>
      <c r="C375" t="s">
        <v>7</v>
      </c>
      <c r="D375" t="s">
        <v>476</v>
      </c>
      <c r="E375" s="2">
        <v>43336.227962962963</v>
      </c>
      <c r="F375" s="2" t="s">
        <v>511</v>
      </c>
      <c r="G375" s="2" t="s">
        <v>512</v>
      </c>
    </row>
    <row r="376" spans="1:7" hidden="1" x14ac:dyDescent="0.25">
      <c r="A376" t="s">
        <v>140</v>
      </c>
      <c r="B376" t="s">
        <v>6</v>
      </c>
      <c r="C376" t="s">
        <v>7</v>
      </c>
      <c r="D376" t="s">
        <v>476</v>
      </c>
      <c r="E376" s="2">
        <v>43336.227372685185</v>
      </c>
      <c r="F376" s="2" t="s">
        <v>511</v>
      </c>
      <c r="G376" s="2" t="s">
        <v>514</v>
      </c>
    </row>
    <row r="377" spans="1:7" hidden="1" x14ac:dyDescent="0.25">
      <c r="A377" t="s">
        <v>142</v>
      </c>
      <c r="B377" t="s">
        <v>6</v>
      </c>
      <c r="C377" t="s">
        <v>7</v>
      </c>
      <c r="D377" t="s">
        <v>476</v>
      </c>
      <c r="E377" s="2">
        <v>43336.226782407408</v>
      </c>
      <c r="F377" s="2" t="s">
        <v>511</v>
      </c>
      <c r="G377" s="2" t="s">
        <v>515</v>
      </c>
    </row>
    <row r="378" spans="1:7" hidden="1" x14ac:dyDescent="0.25">
      <c r="A378" t="s">
        <v>145</v>
      </c>
      <c r="B378" t="s">
        <v>6</v>
      </c>
      <c r="C378" t="s">
        <v>7</v>
      </c>
      <c r="D378" t="s">
        <v>476</v>
      </c>
      <c r="E378" s="2">
        <v>43336.226203703707</v>
      </c>
      <c r="F378" s="2" t="s">
        <v>511</v>
      </c>
      <c r="G378" s="2" t="s">
        <v>517</v>
      </c>
    </row>
    <row r="379" spans="1:7" hidden="1" x14ac:dyDescent="0.25">
      <c r="A379" t="s">
        <v>274</v>
      </c>
      <c r="B379" t="s">
        <v>6</v>
      </c>
      <c r="C379" t="s">
        <v>7</v>
      </c>
      <c r="D379" t="s">
        <v>476</v>
      </c>
      <c r="E379" s="2">
        <v>43336.225624999999</v>
      </c>
      <c r="F379" s="2" t="s">
        <v>511</v>
      </c>
      <c r="G379" s="2" t="s">
        <v>518</v>
      </c>
    </row>
    <row r="380" spans="1:7" hidden="1" x14ac:dyDescent="0.25">
      <c r="A380" t="s">
        <v>183</v>
      </c>
      <c r="B380" t="s">
        <v>6</v>
      </c>
      <c r="C380" t="s">
        <v>7</v>
      </c>
      <c r="D380" t="s">
        <v>476</v>
      </c>
      <c r="E380" s="2">
        <v>43336.225034722222</v>
      </c>
      <c r="F380" s="2" t="s">
        <v>511</v>
      </c>
      <c r="G380" s="2" t="s">
        <v>522</v>
      </c>
    </row>
    <row r="381" spans="1:7" hidden="1" x14ac:dyDescent="0.25">
      <c r="A381" t="s">
        <v>192</v>
      </c>
      <c r="B381" t="s">
        <v>6</v>
      </c>
      <c r="C381" t="s">
        <v>7</v>
      </c>
      <c r="D381" t="s">
        <v>476</v>
      </c>
      <c r="E381" s="2">
        <v>43336.224456018521</v>
      </c>
      <c r="F381" s="2" t="s">
        <v>525</v>
      </c>
      <c r="G381" s="2" t="s">
        <v>526</v>
      </c>
    </row>
    <row r="382" spans="1:7" hidden="1" x14ac:dyDescent="0.25">
      <c r="A382" t="s">
        <v>273</v>
      </c>
      <c r="B382" t="s">
        <v>6</v>
      </c>
      <c r="C382" t="s">
        <v>7</v>
      </c>
      <c r="D382" t="s">
        <v>10</v>
      </c>
      <c r="E382" s="2">
        <v>43336.223877314813</v>
      </c>
      <c r="F382" s="2" t="s">
        <v>528</v>
      </c>
      <c r="G382" s="2" t="s">
        <v>529</v>
      </c>
    </row>
    <row r="383" spans="1:7" hidden="1" x14ac:dyDescent="0.25">
      <c r="A383" t="s">
        <v>187</v>
      </c>
      <c r="B383" t="s">
        <v>6</v>
      </c>
      <c r="C383" t="s">
        <v>7</v>
      </c>
      <c r="D383" t="s">
        <v>10</v>
      </c>
      <c r="E383" s="2">
        <v>43336.223287037035</v>
      </c>
      <c r="F383" s="2" t="s">
        <v>528</v>
      </c>
      <c r="G383" s="2" t="s">
        <v>529</v>
      </c>
    </row>
    <row r="384" spans="1:7" hidden="1" x14ac:dyDescent="0.25">
      <c r="A384" t="s">
        <v>261</v>
      </c>
      <c r="B384" t="s">
        <v>6</v>
      </c>
      <c r="C384" t="s">
        <v>7</v>
      </c>
      <c r="D384" t="s">
        <v>10</v>
      </c>
      <c r="E384" s="2">
        <v>43336.222685185188</v>
      </c>
      <c r="F384" s="2" t="s">
        <v>528</v>
      </c>
      <c r="G384" s="2" t="s">
        <v>529</v>
      </c>
    </row>
    <row r="385" spans="1:7" hidden="1" x14ac:dyDescent="0.25">
      <c r="A385" t="s">
        <v>196</v>
      </c>
      <c r="B385" t="s">
        <v>6</v>
      </c>
      <c r="C385" t="s">
        <v>7</v>
      </c>
      <c r="D385" t="s">
        <v>10</v>
      </c>
      <c r="E385" s="2">
        <v>43336.222094907411</v>
      </c>
      <c r="F385" s="2" t="s">
        <v>528</v>
      </c>
      <c r="G385" s="2" t="s">
        <v>529</v>
      </c>
    </row>
    <row r="386" spans="1:7" hidden="1" x14ac:dyDescent="0.25">
      <c r="A386" t="s">
        <v>260</v>
      </c>
      <c r="B386" t="s">
        <v>6</v>
      </c>
      <c r="C386" t="s">
        <v>7</v>
      </c>
      <c r="D386" t="s">
        <v>476</v>
      </c>
      <c r="E386" s="2">
        <v>43336.221493055556</v>
      </c>
      <c r="F386" s="2" t="s">
        <v>528</v>
      </c>
      <c r="G386" s="2" t="s">
        <v>529</v>
      </c>
    </row>
    <row r="387" spans="1:7" hidden="1" x14ac:dyDescent="0.25">
      <c r="A387" t="s">
        <v>188</v>
      </c>
      <c r="B387" t="s">
        <v>6</v>
      </c>
      <c r="C387" t="s">
        <v>7</v>
      </c>
      <c r="D387" t="s">
        <v>476</v>
      </c>
      <c r="E387" s="2">
        <v>43336.220914351848</v>
      </c>
      <c r="F387" s="2" t="s">
        <v>497</v>
      </c>
      <c r="G387" s="2" t="s">
        <v>497</v>
      </c>
    </row>
    <row r="388" spans="1:7" hidden="1" x14ac:dyDescent="0.25">
      <c r="A388" t="s">
        <v>190</v>
      </c>
      <c r="B388" t="s">
        <v>6</v>
      </c>
      <c r="C388" t="s">
        <v>7</v>
      </c>
      <c r="D388" t="s">
        <v>476</v>
      </c>
      <c r="E388" s="2">
        <v>43336.220324074071</v>
      </c>
      <c r="F388" s="2" t="s">
        <v>497</v>
      </c>
      <c r="G388" s="2" t="s">
        <v>497</v>
      </c>
    </row>
    <row r="389" spans="1:7" hidden="1" x14ac:dyDescent="0.25">
      <c r="A389" t="s">
        <v>193</v>
      </c>
      <c r="B389" t="s">
        <v>6</v>
      </c>
      <c r="C389" t="s">
        <v>7</v>
      </c>
      <c r="D389" t="s">
        <v>476</v>
      </c>
      <c r="E389" s="2">
        <v>43336.219722222224</v>
      </c>
      <c r="F389" s="2" t="s">
        <v>497</v>
      </c>
      <c r="G389" s="2" t="s">
        <v>497</v>
      </c>
    </row>
    <row r="390" spans="1:7" hidden="1" x14ac:dyDescent="0.25">
      <c r="A390" t="s">
        <v>259</v>
      </c>
      <c r="B390" t="s">
        <v>6</v>
      </c>
      <c r="C390" t="s">
        <v>7</v>
      </c>
      <c r="D390" t="s">
        <v>10</v>
      </c>
      <c r="E390" s="2">
        <v>43336.219131944446</v>
      </c>
      <c r="F390" s="2" t="s">
        <v>497</v>
      </c>
      <c r="G390" s="2" t="s">
        <v>497</v>
      </c>
    </row>
    <row r="391" spans="1:7" hidden="1" x14ac:dyDescent="0.25">
      <c r="A391" t="s">
        <v>194</v>
      </c>
      <c r="B391" t="s">
        <v>6</v>
      </c>
      <c r="C391" t="s">
        <v>7</v>
      </c>
      <c r="D391" t="s">
        <v>10</v>
      </c>
      <c r="E391" s="2">
        <v>43336.218518518515</v>
      </c>
      <c r="F391" s="2" t="s">
        <v>497</v>
      </c>
      <c r="G391" s="2" t="s">
        <v>497</v>
      </c>
    </row>
    <row r="392" spans="1:7" hidden="1" x14ac:dyDescent="0.25">
      <c r="A392" t="s">
        <v>258</v>
      </c>
      <c r="B392" t="s">
        <v>6</v>
      </c>
      <c r="C392" t="s">
        <v>7</v>
      </c>
      <c r="D392" t="s">
        <v>10</v>
      </c>
      <c r="E392" s="2">
        <v>43336.217905092592</v>
      </c>
      <c r="F392" s="2" t="s">
        <v>497</v>
      </c>
      <c r="G392" s="2" t="s">
        <v>497</v>
      </c>
    </row>
    <row r="393" spans="1:7" hidden="1" x14ac:dyDescent="0.25">
      <c r="A393" t="s">
        <v>197</v>
      </c>
      <c r="B393" t="s">
        <v>6</v>
      </c>
      <c r="C393" t="s">
        <v>7</v>
      </c>
      <c r="D393" t="s">
        <v>10</v>
      </c>
      <c r="E393" s="2">
        <v>43336.217291666668</v>
      </c>
      <c r="F393" s="2" t="s">
        <v>497</v>
      </c>
      <c r="G393" s="2" t="s">
        <v>497</v>
      </c>
    </row>
    <row r="394" spans="1:7" hidden="1" x14ac:dyDescent="0.25">
      <c r="A394" t="s">
        <v>198</v>
      </c>
      <c r="B394" t="s">
        <v>6</v>
      </c>
      <c r="C394" t="s">
        <v>7</v>
      </c>
      <c r="D394" t="s">
        <v>10</v>
      </c>
      <c r="E394" s="2">
        <v>43336.216666666667</v>
      </c>
      <c r="F394" s="2" t="s">
        <v>497</v>
      </c>
      <c r="G394" s="2" t="s">
        <v>497</v>
      </c>
    </row>
    <row r="395" spans="1:7" hidden="1" x14ac:dyDescent="0.25">
      <c r="A395" t="s">
        <v>201</v>
      </c>
      <c r="B395" t="s">
        <v>6</v>
      </c>
      <c r="C395" t="s">
        <v>7</v>
      </c>
      <c r="D395" t="s">
        <v>476</v>
      </c>
      <c r="E395" s="2">
        <v>43336.216099537036</v>
      </c>
      <c r="F395" s="2" t="s">
        <v>497</v>
      </c>
      <c r="G395" s="2" t="s">
        <v>497</v>
      </c>
    </row>
    <row r="396" spans="1:7" hidden="1" x14ac:dyDescent="0.25">
      <c r="A396" t="s">
        <v>231</v>
      </c>
      <c r="B396" t="s">
        <v>6</v>
      </c>
      <c r="C396" t="s">
        <v>7</v>
      </c>
      <c r="D396" t="s">
        <v>476</v>
      </c>
      <c r="E396" s="2">
        <v>43336.215509259258</v>
      </c>
      <c r="F396" s="2" t="s">
        <v>497</v>
      </c>
      <c r="G396" s="2" t="s">
        <v>497</v>
      </c>
    </row>
    <row r="397" spans="1:7" hidden="1" x14ac:dyDescent="0.25">
      <c r="A397" t="s">
        <v>271</v>
      </c>
      <c r="B397" t="s">
        <v>6</v>
      </c>
      <c r="C397" t="s">
        <v>7</v>
      </c>
      <c r="D397" t="s">
        <v>10</v>
      </c>
      <c r="E397" s="2">
        <v>43336.214930555558</v>
      </c>
      <c r="F397" s="2" t="s">
        <v>498</v>
      </c>
      <c r="G397" s="2" t="s">
        <v>498</v>
      </c>
    </row>
    <row r="398" spans="1:7" hidden="1" x14ac:dyDescent="0.25">
      <c r="A398" t="s">
        <v>232</v>
      </c>
      <c r="B398" t="s">
        <v>6</v>
      </c>
      <c r="C398" t="s">
        <v>7</v>
      </c>
      <c r="D398" t="s">
        <v>13</v>
      </c>
      <c r="E398" s="2">
        <v>43336.21434027778</v>
      </c>
      <c r="F398" s="2" t="s">
        <v>498</v>
      </c>
      <c r="G398" s="2" t="s">
        <v>498</v>
      </c>
    </row>
    <row r="399" spans="1:7" hidden="1" x14ac:dyDescent="0.25">
      <c r="A399" t="s">
        <v>237</v>
      </c>
      <c r="B399" t="s">
        <v>6</v>
      </c>
      <c r="C399" t="s">
        <v>7</v>
      </c>
      <c r="D399" t="s">
        <v>13</v>
      </c>
      <c r="E399" s="2">
        <v>43336.213622685187</v>
      </c>
      <c r="F399" s="2" t="s">
        <v>498</v>
      </c>
      <c r="G399" s="2" t="s">
        <v>498</v>
      </c>
    </row>
    <row r="400" spans="1:7" hidden="1" x14ac:dyDescent="0.25">
      <c r="A400" t="s">
        <v>347</v>
      </c>
      <c r="B400" t="s">
        <v>6</v>
      </c>
      <c r="C400" t="s">
        <v>7</v>
      </c>
      <c r="D400" t="s">
        <v>10</v>
      </c>
      <c r="E400" s="2">
        <v>43335.92931712963</v>
      </c>
      <c r="F400" s="2" t="s">
        <v>572</v>
      </c>
      <c r="G400" s="2" t="s">
        <v>491</v>
      </c>
    </row>
    <row r="401" spans="1:7" hidden="1" x14ac:dyDescent="0.25">
      <c r="A401" t="s">
        <v>262</v>
      </c>
      <c r="B401" t="s">
        <v>6</v>
      </c>
      <c r="C401" t="s">
        <v>7</v>
      </c>
      <c r="D401" t="s">
        <v>10</v>
      </c>
      <c r="E401" s="2">
        <v>43335.407685185186</v>
      </c>
      <c r="F401" s="2" t="s">
        <v>513</v>
      </c>
      <c r="G401" s="2" t="s">
        <v>513</v>
      </c>
    </row>
    <row r="402" spans="1:7" hidden="1" x14ac:dyDescent="0.25">
      <c r="A402" t="s">
        <v>410</v>
      </c>
      <c r="B402" t="s">
        <v>6</v>
      </c>
      <c r="C402" t="s">
        <v>7</v>
      </c>
      <c r="D402" t="s">
        <v>10</v>
      </c>
      <c r="E402" s="2">
        <v>43335.407013888886</v>
      </c>
      <c r="F402" s="2" t="s">
        <v>581</v>
      </c>
      <c r="G402" s="2" t="s">
        <v>581</v>
      </c>
    </row>
    <row r="403" spans="1:7" hidden="1" x14ac:dyDescent="0.25">
      <c r="A403" t="s">
        <v>487</v>
      </c>
      <c r="B403" t="s">
        <v>6</v>
      </c>
      <c r="C403" t="s">
        <v>7</v>
      </c>
      <c r="D403" t="s">
        <v>73</v>
      </c>
      <c r="E403" s="2">
        <v>43334.597094907411</v>
      </c>
      <c r="F403" s="2" t="s">
        <v>519</v>
      </c>
      <c r="G403" s="2" t="s">
        <v>520</v>
      </c>
    </row>
    <row r="404" spans="1:7" hidden="1" x14ac:dyDescent="0.25">
      <c r="A404" t="s">
        <v>71</v>
      </c>
      <c r="B404" t="s">
        <v>6</v>
      </c>
      <c r="C404" t="s">
        <v>7</v>
      </c>
      <c r="D404" t="s">
        <v>10</v>
      </c>
      <c r="E404" s="2">
        <v>43334.427199074074</v>
      </c>
      <c r="F404" s="2"/>
      <c r="G404" s="2"/>
    </row>
    <row r="405" spans="1:7" hidden="1" x14ac:dyDescent="0.25">
      <c r="A405" t="s">
        <v>100</v>
      </c>
      <c r="B405" t="s">
        <v>306</v>
      </c>
      <c r="C405" t="s">
        <v>306</v>
      </c>
      <c r="D405" t="s">
        <v>307</v>
      </c>
      <c r="E405" s="2">
        <v>43334.288900462961</v>
      </c>
      <c r="F405" s="2"/>
      <c r="G405" s="2"/>
    </row>
    <row r="406" spans="1:7" hidden="1" x14ac:dyDescent="0.25">
      <c r="A406" t="s">
        <v>62</v>
      </c>
      <c r="B406" t="s">
        <v>306</v>
      </c>
      <c r="C406" t="s">
        <v>306</v>
      </c>
      <c r="D406" t="s">
        <v>307</v>
      </c>
      <c r="E406" s="2">
        <v>43334.288368055553</v>
      </c>
      <c r="F406" s="2"/>
      <c r="G406" s="2"/>
    </row>
    <row r="407" spans="1:7" hidden="1" x14ac:dyDescent="0.25">
      <c r="A407" t="s">
        <v>63</v>
      </c>
      <c r="B407" t="s">
        <v>306</v>
      </c>
      <c r="C407" t="s">
        <v>306</v>
      </c>
      <c r="D407" t="s">
        <v>307</v>
      </c>
      <c r="E407" s="2">
        <v>43334.287824074076</v>
      </c>
      <c r="F407" s="2"/>
      <c r="G407" s="2"/>
    </row>
  </sheetData>
  <sortState ref="A352:G357">
    <sortCondition descending="1" ref="E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7"/>
  <dimension ref="A1:W25"/>
  <sheetViews>
    <sheetView workbookViewId="0">
      <selection activeCell="U14" sqref="U14"/>
    </sheetView>
  </sheetViews>
  <sheetFormatPr defaultRowHeight="15" x14ac:dyDescent="0.25"/>
  <cols>
    <col min="1" max="1" width="14.85546875" bestFit="1" customWidth="1"/>
    <col min="3" max="3" width="8" bestFit="1" customWidth="1"/>
    <col min="4" max="4" width="13.5703125" bestFit="1" customWidth="1"/>
    <col min="5" max="5" width="13.7109375" bestFit="1" customWidth="1"/>
    <col min="6" max="6" width="13.140625" bestFit="1" customWidth="1"/>
    <col min="7" max="7" width="19.28515625" bestFit="1" customWidth="1"/>
    <col min="8" max="8" width="19.28515625" customWidth="1"/>
    <col min="9" max="9" width="14" style="6" bestFit="1" customWidth="1"/>
    <col min="15" max="15" width="9.140625" style="1"/>
    <col min="19" max="19" width="18.5703125" style="5" bestFit="1" customWidth="1"/>
    <col min="20" max="20" width="10.7109375" bestFit="1" customWidth="1"/>
    <col min="21" max="21" width="9.140625" style="5"/>
    <col min="22" max="22" width="18.7109375" customWidth="1"/>
    <col min="23" max="23" width="18.85546875" customWidth="1"/>
  </cols>
  <sheetData>
    <row r="1" spans="1:23" s="8" customFormat="1" x14ac:dyDescent="0.25">
      <c r="A1" s="8" t="s">
        <v>465</v>
      </c>
      <c r="B1" s="8" t="s">
        <v>13</v>
      </c>
      <c r="C1" s="8" t="s">
        <v>467</v>
      </c>
      <c r="D1" s="8" t="s">
        <v>468</v>
      </c>
      <c r="E1" s="8" t="s">
        <v>466</v>
      </c>
      <c r="F1" s="8" t="s">
        <v>469</v>
      </c>
      <c r="G1" s="8" t="s">
        <v>27</v>
      </c>
      <c r="H1" s="8" t="s">
        <v>485</v>
      </c>
      <c r="I1" s="10" t="s">
        <v>475</v>
      </c>
      <c r="J1" s="8" t="s">
        <v>476</v>
      </c>
      <c r="K1" s="8" t="s">
        <v>202</v>
      </c>
      <c r="L1" s="8" t="s">
        <v>10</v>
      </c>
      <c r="M1" s="8" t="s">
        <v>13</v>
      </c>
      <c r="N1" s="8" t="s">
        <v>478</v>
      </c>
      <c r="O1" s="11" t="s">
        <v>475</v>
      </c>
      <c r="P1" s="8" t="s">
        <v>477</v>
      </c>
      <c r="Q1" s="8" t="s">
        <v>483</v>
      </c>
      <c r="R1" s="8" t="s">
        <v>484</v>
      </c>
      <c r="S1" s="9" t="s">
        <v>474</v>
      </c>
      <c r="T1" s="8" t="s">
        <v>472</v>
      </c>
      <c r="U1" s="9" t="s">
        <v>473</v>
      </c>
      <c r="V1" s="8" t="s">
        <v>470</v>
      </c>
      <c r="W1" s="8" t="s">
        <v>471</v>
      </c>
    </row>
    <row r="2" spans="1:23" x14ac:dyDescent="0.25">
      <c r="A2" s="1">
        <f ca="1">COUNTIFS(WholeDay!D1:D6746,"Active",WholeDay!E1:E6746,"&gt;="&amp;V2,WholeDay!E1:E6746,"&lt;="&amp;W2)</f>
        <v>219</v>
      </c>
      <c r="B2">
        <f ca="1">COUNTIFS(WholeDay!D1:D6746,"Other",WholeDay!E1:E6746,"&gt;="&amp;V2,WholeDay!E1:E6746,"&lt;="&amp;W2)</f>
        <v>42</v>
      </c>
      <c r="C2">
        <f ca="1">COUNTIFS(WholeDay!D1:D6746,"Remote*",WholeDay!E1:E6746,"&gt;="&amp;V2,WholeDay!E1:E6746,"&lt;="&amp;W2)</f>
        <v>0</v>
      </c>
      <c r="D2">
        <f ca="1">COUNTIFS(WholeDay!D1:D6746,"Logged in as D*",WholeDay!E1:E6746,"&gt;="&amp;V2,WholeDay!E1:E6746,"&lt;="&amp;W2)</f>
        <v>0</v>
      </c>
      <c r="E2">
        <f ca="1">COUNTIFS(WholeDay!D1:D6746,"Logged in as N*",WholeDay!E1:E6746,"&gt;="&amp;V2,WholeDay!E1:E6746,"&lt;="&amp;W2)</f>
        <v>0</v>
      </c>
      <c r="F2">
        <f ca="1">COUNTIFS(WholeDay!D1:D6746,"NO MATCH VM FOUND",WholeDay!E1:E6746,"&gt;="&amp;V2,WholeDay!E1:E6746,"&lt;="&amp;W2)</f>
        <v>8</v>
      </c>
      <c r="G2">
        <f ca="1">COUNTIFS(WholeDay!D1:D6746,"Connection*",WholeDay!E1:E6746,"&gt;="&amp;V2,WholeDay!E1:E6746,"&lt;="&amp;W2)</f>
        <v>18</v>
      </c>
      <c r="H2">
        <f ca="1">COUNTIFS(WholeDay!D1:D6746,"Account Locked",WholeDay!E1:E6746,"&gt;="&amp;V2,WholeDay!E1:E6746,"&lt;="&amp;W2)</f>
        <v>0</v>
      </c>
      <c r="I2" s="7">
        <v>0</v>
      </c>
      <c r="J2">
        <f ca="1">COUNTIFS(WholeDay!D1:D6746,"Dead",WholeDay!E1:E6746,"&gt;="&amp;V2,WholeDay!E1:E6746,"&lt;="&amp;W2)</f>
        <v>33</v>
      </c>
      <c r="K2">
        <f t="shared" ref="K2:K25" ca="1" si="0">SUM(F2,G2,J2)</f>
        <v>59</v>
      </c>
      <c r="L2">
        <f ca="1">SUM(A2,D2,E2)</f>
        <v>219</v>
      </c>
      <c r="M2">
        <f ca="1">SUM(B2)</f>
        <v>42</v>
      </c>
      <c r="N2">
        <f t="shared" ref="N2:N13" ca="1" si="1">SUM(K2,L2,M2,Q2,R2)</f>
        <v>320</v>
      </c>
      <c r="O2" s="12" t="s">
        <v>589</v>
      </c>
      <c r="P2">
        <f t="shared" ref="P2:P13" ca="1" si="2">SUM(400,-N2)</f>
        <v>80</v>
      </c>
      <c r="Q2">
        <f ca="1">SUM(C2)</f>
        <v>0</v>
      </c>
      <c r="R2" s="1">
        <f ca="1">SUM(H2)</f>
        <v>0</v>
      </c>
      <c r="S2" s="5">
        <f>TIME(0,59,59)</f>
        <v>4.1655092592592598E-2</v>
      </c>
      <c r="T2" s="4">
        <f ca="1">TODAY()</f>
        <v>43336</v>
      </c>
      <c r="U2" s="5">
        <f>TIME(0,0,1)</f>
        <v>1.1574074074074073E-5</v>
      </c>
      <c r="V2" t="str">
        <f ca="1">TEXT(T2,"dd/mm/yyyy ")&amp;TEXT(U2,"hh:mm:ss")</f>
        <v>24/08/2018 00:00:01</v>
      </c>
      <c r="W2" s="2" t="str">
        <f ca="1">TEXT(T2,"dd/mm/yyyy ")&amp;TEXT(S2,"hh:mm:ss")</f>
        <v>24/08/2018 00:59:59</v>
      </c>
    </row>
    <row r="3" spans="1:23" x14ac:dyDescent="0.25">
      <c r="A3" s="1">
        <f ca="1">COUNTIFS(WholeDay!D1:D6747,"Active",WholeDay!E1:E6747,"&gt;="&amp;V3,WholeDay!E1:E6747,"&lt;="&amp;W3)</f>
        <v>222</v>
      </c>
      <c r="B3">
        <f ca="1">COUNTIFS(WholeDay!D1:D6747,"Other",WholeDay!E1:E6747,"&gt;="&amp;V3,WholeDay!E1:E6747,"&lt;="&amp;W3)</f>
        <v>47</v>
      </c>
      <c r="C3">
        <f ca="1">COUNTIFS(WholeDay!D1:D6747,"Remote*",WholeDay!E1:E6747,"&gt;="&amp;V3,WholeDay!E1:E6747,"&lt;="&amp;W3)</f>
        <v>0</v>
      </c>
      <c r="D3">
        <f ca="1">COUNTIFS(WholeDay!D1:D6747,"Logged in as D*",WholeDay!E1:E6747,"&gt;="&amp;V3,WholeDay!E1:E6747,"&lt;="&amp;W3)</f>
        <v>0</v>
      </c>
      <c r="E3">
        <f ca="1">COUNTIFS(WholeDay!D1:D6747,"Logged in as N*",WholeDay!E1:E6747,"&gt;="&amp;V3,WholeDay!E1:E6747,"&lt;="&amp;W3)</f>
        <v>1</v>
      </c>
      <c r="F3">
        <f ca="1">COUNTIFS(WholeDay!D1:D6747,"NO MATCH VM FOUND",WholeDay!E1:E6747,"&gt;="&amp;V3,WholeDay!E1:E6747,"&lt;="&amp;W3)</f>
        <v>21</v>
      </c>
      <c r="G3">
        <f ca="1">COUNTIFS(WholeDay!D1:D6747,"Connection*",WholeDay!E1:E6747,"&gt;="&amp;V3,WholeDay!E1:E6747,"&lt;="&amp;W3)</f>
        <v>15</v>
      </c>
      <c r="H3">
        <f ca="1">COUNTIFS(WholeDay!D2:D6747,"Account Locked",WholeDay!E2:E6747,"&gt;="&amp;V3,WholeDay!E2:E6747,"&lt;="&amp;W3)</f>
        <v>4</v>
      </c>
      <c r="I3" s="7">
        <v>4.1666666666666699E-2</v>
      </c>
      <c r="J3">
        <f ca="1">COUNTIFS(WholeDay!D2:D6747,"Dead",WholeDay!E2:E6747,"&gt;="&amp;V3,WholeDay!E2:E6747,"&lt;="&amp;W3)</f>
        <v>23</v>
      </c>
      <c r="K3">
        <f t="shared" ca="1" si="0"/>
        <v>59</v>
      </c>
      <c r="L3">
        <f t="shared" ref="L3:L13" ca="1" si="3">SUM(A3,D3,E3)</f>
        <v>223</v>
      </c>
      <c r="M3">
        <f t="shared" ref="M3:M13" ca="1" si="4">SUM(B3)</f>
        <v>47</v>
      </c>
      <c r="N3">
        <f t="shared" ca="1" si="1"/>
        <v>333</v>
      </c>
      <c r="O3" s="12" t="s">
        <v>592</v>
      </c>
      <c r="P3">
        <f t="shared" ca="1" si="2"/>
        <v>67</v>
      </c>
      <c r="Q3">
        <f t="shared" ref="Q3:Q13" ca="1" si="5">SUM(C3)</f>
        <v>0</v>
      </c>
      <c r="R3" s="1">
        <f t="shared" ref="R3:R13" ca="1" si="6">SUM(H3)</f>
        <v>4</v>
      </c>
      <c r="S3" s="5">
        <f>TIME(1,59,59)</f>
        <v>8.3321759259259262E-2</v>
      </c>
      <c r="T3" s="4">
        <f t="shared" ref="T3:T25" ca="1" si="7">TODAY()</f>
        <v>43336</v>
      </c>
      <c r="U3" s="5">
        <f>TIME(1,0,1)</f>
        <v>4.1678240740740745E-2</v>
      </c>
      <c r="V3" s="2" t="str">
        <f ca="1">TEXT(T3,"dd/mm/yyyy ")&amp;TEXT(U3,"hh:mm:ss")</f>
        <v>24/08/2018 01:00:01</v>
      </c>
      <c r="W3" s="2" t="str">
        <f t="shared" ref="W3:W25" ca="1" si="8">TEXT(T3,"dd/mm/yyyy ")&amp;TEXT(S3,"hh:mm:ss")</f>
        <v>24/08/2018 01:59:59</v>
      </c>
    </row>
    <row r="4" spans="1:23" x14ac:dyDescent="0.25">
      <c r="A4" s="1">
        <f ca="1">COUNTIFS(WholeDay!D1:D6748,"Active",WholeDay!E1:E6748,"&gt;="&amp;V4,WholeDay!E1:E6748,"&lt;="&amp;W4)</f>
        <v>226</v>
      </c>
      <c r="B4">
        <f ca="1">COUNTIFS(WholeDay!D1:D6748,"Other",WholeDay!E1:E6748,"&gt;="&amp;V4,WholeDay!E1:E6748,"&lt;="&amp;W4)</f>
        <v>48</v>
      </c>
      <c r="C4">
        <f ca="1">COUNTIFS(WholeDay!D1:D6748,"Remote*",WholeDay!E1:E6748,"&gt;="&amp;V4,WholeDay!E1:E6748,"&lt;="&amp;W4)</f>
        <v>0</v>
      </c>
      <c r="D4">
        <f ca="1">COUNTIFS(WholeDay!D1:D6748,"Logged in as D*",WholeDay!E1:E6748,"&gt;="&amp;V4,WholeDay!E1:E6748,"&lt;="&amp;W4)</f>
        <v>0</v>
      </c>
      <c r="E4">
        <f ca="1">COUNTIFS(WholeDay!D1:D6748,"Logged in as N*",WholeDay!E1:E6748,"&gt;="&amp;V4,WholeDay!E1:E6748,"&lt;="&amp;W4)</f>
        <v>1</v>
      </c>
      <c r="F4">
        <f ca="1">COUNTIFS(WholeDay!D1:D6748,"NO MATCH VM FOUND",WholeDay!E1:E6748,"&gt;="&amp;V4,WholeDay!E1:E6748,"&lt;="&amp;W4)</f>
        <v>15</v>
      </c>
      <c r="G4">
        <f ca="1">COUNTIFS(WholeDay!D1:D6748,"Connection*",WholeDay!E1:E6748,"&gt;="&amp;V4,WholeDay!E1:E6748,"&lt;="&amp;W4)</f>
        <v>19</v>
      </c>
      <c r="H4">
        <f ca="1">COUNTIFS(WholeDay!D3:D6748,"Account Locked",WholeDay!E3:E6748,"&gt;="&amp;V4,WholeDay!E3:E6748,"&lt;="&amp;W4)</f>
        <v>3</v>
      </c>
      <c r="I4" s="7">
        <v>8.3333333333333301E-2</v>
      </c>
      <c r="J4">
        <f ca="1">COUNTIFS(WholeDay!D3:D6748,"Dead",WholeDay!E3:E6748,"&gt;="&amp;V4,WholeDay!E3:E6748,"&lt;="&amp;W4)</f>
        <v>24</v>
      </c>
      <c r="K4">
        <f t="shared" ca="1" si="0"/>
        <v>58</v>
      </c>
      <c r="L4">
        <f t="shared" ca="1" si="3"/>
        <v>227</v>
      </c>
      <c r="M4">
        <f t="shared" ca="1" si="4"/>
        <v>48</v>
      </c>
      <c r="N4">
        <f t="shared" ca="1" si="1"/>
        <v>336</v>
      </c>
      <c r="O4" s="12" t="s">
        <v>593</v>
      </c>
      <c r="P4">
        <f t="shared" ca="1" si="2"/>
        <v>64</v>
      </c>
      <c r="Q4">
        <f t="shared" ca="1" si="5"/>
        <v>0</v>
      </c>
      <c r="R4" s="1">
        <f t="shared" ca="1" si="6"/>
        <v>3</v>
      </c>
      <c r="S4" s="5">
        <f>TIME(2,59,59)</f>
        <v>0.12498842592592592</v>
      </c>
      <c r="T4" s="4">
        <f t="shared" ca="1" si="7"/>
        <v>43336</v>
      </c>
      <c r="U4" s="5">
        <f>TIME(2,0,1)</f>
        <v>8.3344907407407409E-2</v>
      </c>
      <c r="V4" s="2" t="str">
        <f ca="1">TEXT(T4,"dd/mm/yyyy ")&amp;TEXT(U4,"hh:mm:ss")</f>
        <v>24/08/2018 02:00:01</v>
      </c>
      <c r="W4" s="2" t="str">
        <f t="shared" ca="1" si="8"/>
        <v>24/08/2018 02:59:59</v>
      </c>
    </row>
    <row r="5" spans="1:23" x14ac:dyDescent="0.25">
      <c r="A5" s="1">
        <f ca="1">COUNTIFS(WholeDay!D1:D6749,"Active",WholeDay!E1:E6749,"&gt;="&amp;V5,WholeDay!E1:E6749,"&lt;="&amp;W5)</f>
        <v>181</v>
      </c>
      <c r="B5">
        <f ca="1">COUNTIFS(WholeDay!D1:D6749,"Other",WholeDay!E1:E6749,"&gt;="&amp;V5,WholeDay!E1:E6749,"&lt;="&amp;W5)</f>
        <v>37</v>
      </c>
      <c r="C5">
        <f ca="1">COUNTIFS(WholeDay!D1:D6749,"Remote*",WholeDay!E1:E6749,"&gt;="&amp;V5,WholeDay!E1:E6749,"&lt;="&amp;W5)</f>
        <v>0</v>
      </c>
      <c r="D5">
        <f ca="1">COUNTIFS(WholeDay!D1:D6749,"Logged in as D*",WholeDay!E1:E6749,"&gt;="&amp;V5,WholeDay!E1:E6749,"&lt;="&amp;W5)</f>
        <v>0</v>
      </c>
      <c r="E5">
        <f ca="1">COUNTIFS(WholeDay!D1:D6749,"Logged in as N*",WholeDay!E1:E6749,"&gt;="&amp;V5,WholeDay!E1:E6749,"&lt;="&amp;W5)</f>
        <v>1</v>
      </c>
      <c r="F5">
        <f ca="1">COUNTIFS(WholeDay!D1:D6749,"NO MATCH VM FOUND",WholeDay!E1:E6749,"&gt;="&amp;V5,WholeDay!E1:E6749,"&lt;="&amp;W5)</f>
        <v>17</v>
      </c>
      <c r="G5">
        <f ca="1">COUNTIFS(WholeDay!D1:D6749,"Connection*",WholeDay!E1:E6749,"&gt;="&amp;V5,WholeDay!E1:E6749,"&lt;="&amp;W5)</f>
        <v>57</v>
      </c>
      <c r="H5">
        <f ca="1">COUNTIFS(WholeDay!D4:D6749,"Account Locked",WholeDay!E4:E6749,"&gt;="&amp;V5,WholeDay!E4:E6749,"&lt;="&amp;W5)</f>
        <v>4</v>
      </c>
      <c r="I5" s="7">
        <v>0.125</v>
      </c>
      <c r="J5">
        <f ca="1">COUNTIFS(WholeDay!D4:D6749,"Dead",WholeDay!E4:E6749,"&gt;="&amp;V5,WholeDay!E4:E6749,"&lt;="&amp;W5)</f>
        <v>38</v>
      </c>
      <c r="K5">
        <f t="shared" ca="1" si="0"/>
        <v>112</v>
      </c>
      <c r="L5">
        <f t="shared" ca="1" si="3"/>
        <v>182</v>
      </c>
      <c r="M5">
        <f t="shared" ca="1" si="4"/>
        <v>37</v>
      </c>
      <c r="N5">
        <f t="shared" ca="1" si="1"/>
        <v>335</v>
      </c>
      <c r="O5" s="12" t="s">
        <v>594</v>
      </c>
      <c r="P5">
        <f t="shared" ca="1" si="2"/>
        <v>65</v>
      </c>
      <c r="Q5">
        <f t="shared" ca="1" si="5"/>
        <v>0</v>
      </c>
      <c r="R5" s="1">
        <f t="shared" ca="1" si="6"/>
        <v>4</v>
      </c>
      <c r="S5" s="5">
        <f>TIME(3,59,59)</f>
        <v>0.16665509259259259</v>
      </c>
      <c r="T5" s="4">
        <f t="shared" ca="1" si="7"/>
        <v>43336</v>
      </c>
      <c r="U5" s="5">
        <f>TIME(3,0,58)</f>
        <v>0.12567129629629628</v>
      </c>
      <c r="V5" s="2" t="str">
        <f t="shared" ref="V5:V25" ca="1" si="9">TEXT(T5,"dd/mm/yyyy ")&amp;TEXT(U5,"hh:mm:ss")</f>
        <v>24/08/2018 03:00:58</v>
      </c>
      <c r="W5" s="2" t="str">
        <f t="shared" ca="1" si="8"/>
        <v>24/08/2018 03:59:59</v>
      </c>
    </row>
    <row r="6" spans="1:23" x14ac:dyDescent="0.25">
      <c r="A6" s="1">
        <f ca="1">COUNTIFS(WholeDay!D1:D6750,"Active",WholeDay!E1:E6750,"&gt;="&amp;V6,WholeDay!E1:E6750,"&lt;="&amp;W6)</f>
        <v>214</v>
      </c>
      <c r="B6">
        <f ca="1">COUNTIFS(WholeDay!D1:D6750,"Other",WholeDay!E1:E6750,"&gt;="&amp;V6,WholeDay!E1:E6750,"&lt;="&amp;W6)</f>
        <v>41</v>
      </c>
      <c r="C6">
        <f ca="1">COUNTIFS(WholeDay!D1:D6750,"Remote*",WholeDay!E1:E6750,"&gt;="&amp;V6,WholeDay!E1:E6750,"&lt;="&amp;W6)</f>
        <v>0</v>
      </c>
      <c r="D6">
        <f ca="1">COUNTIFS(WholeDay!D1:D6750,"Logged in as D*",WholeDay!E1:E6750,"&gt;="&amp;V6,WholeDay!E1:E6750,"&lt;="&amp;W6)</f>
        <v>0</v>
      </c>
      <c r="E6">
        <f ca="1">COUNTIFS(WholeDay!D1:D6750,"Logged in as N*",WholeDay!E1:E6750,"&gt;="&amp;V6,WholeDay!E1:E6750,"&lt;="&amp;W6)</f>
        <v>4</v>
      </c>
      <c r="F6">
        <f ca="1">COUNTIFS(WholeDay!D1:D6750,"NO MATCH VM FOUND",WholeDay!E1:E6750,"&gt;="&amp;V6,WholeDay!E1:E6750,"&lt;="&amp;W6)</f>
        <v>5</v>
      </c>
      <c r="G6">
        <f ca="1">COUNTIFS(WholeDay!D1:D6750,"Connection*",WholeDay!E1:E6750,"&gt;="&amp;V6,WholeDay!E1:E6750,"&lt;="&amp;W6)</f>
        <v>72</v>
      </c>
      <c r="H6">
        <f ca="1">COUNTIFS(WholeDay!D5:D6750,"Account Locked",WholeDay!E5:E6750,"&gt;="&amp;V6,WholeDay!E5:E6750,"&lt;="&amp;W6)</f>
        <v>5</v>
      </c>
      <c r="I6" s="7">
        <v>0.16666666666666699</v>
      </c>
      <c r="J6">
        <f ca="1">COUNTIFS(WholeDay!D5:D6750,"Dead",WholeDay!E5:E6750,"&gt;="&amp;V6,WholeDay!E5:E6750,"&lt;="&amp;W6)</f>
        <v>74</v>
      </c>
      <c r="K6">
        <f t="shared" ca="1" si="0"/>
        <v>151</v>
      </c>
      <c r="L6">
        <f t="shared" ca="1" si="3"/>
        <v>218</v>
      </c>
      <c r="M6">
        <f t="shared" ca="1" si="4"/>
        <v>41</v>
      </c>
      <c r="N6">
        <f t="shared" ca="1" si="1"/>
        <v>415</v>
      </c>
      <c r="O6" s="12" t="s">
        <v>595</v>
      </c>
      <c r="P6">
        <f t="shared" ca="1" si="2"/>
        <v>-15</v>
      </c>
      <c r="Q6">
        <f t="shared" ca="1" si="5"/>
        <v>0</v>
      </c>
      <c r="R6" s="1">
        <f t="shared" ca="1" si="6"/>
        <v>5</v>
      </c>
      <c r="S6" s="5">
        <f>TIME(4,59,59)</f>
        <v>0.20832175925925925</v>
      </c>
      <c r="T6" s="4">
        <f t="shared" ca="1" si="7"/>
        <v>43336</v>
      </c>
      <c r="U6" s="5">
        <f>TIME(4,0,58)</f>
        <v>0.16733796296296297</v>
      </c>
      <c r="V6" s="2" t="str">
        <f t="shared" ca="1" si="9"/>
        <v>24/08/2018 04:00:58</v>
      </c>
      <c r="W6" s="2" t="str">
        <f t="shared" ca="1" si="8"/>
        <v>24/08/2018 04:59:59</v>
      </c>
    </row>
    <row r="7" spans="1:23" x14ac:dyDescent="0.25">
      <c r="A7" s="1">
        <f ca="1">COUNTIFS(WholeDay!D1:D6751,"Active",WholeDay!E1:E6751,"&gt;="&amp;V7,WholeDay!E1:E6751,"&lt;="&amp;W7)</f>
        <v>109</v>
      </c>
      <c r="B7">
        <f ca="1">COUNTIFS(WholeDay!D1:D6751,"Other",WholeDay!E1:E6751,"&gt;="&amp;V7,WholeDay!E1:E6751,"&lt;="&amp;W7)</f>
        <v>10</v>
      </c>
      <c r="C7">
        <f ca="1">COUNTIFS(WholeDay!D1:D6751,"Remote*",WholeDay!E1:E6751,"&gt;="&amp;V7,WholeDay!E1:E6751,"&lt;="&amp;W7)</f>
        <v>0</v>
      </c>
      <c r="D7">
        <f ca="1">COUNTIFS(WholeDay!D1:D6751,"Logged in as D*",WholeDay!E1:E6751,"&gt;="&amp;V7,WholeDay!E1:E6751,"&lt;="&amp;W7)</f>
        <v>0</v>
      </c>
      <c r="E7">
        <f ca="1">COUNTIFS(WholeDay!D1:D6751,"Logged in as N*",WholeDay!E1:E6751,"&gt;="&amp;V7,WholeDay!E1:E6751,"&lt;="&amp;W7)</f>
        <v>1</v>
      </c>
      <c r="F7">
        <f ca="1">COUNTIFS(WholeDay!D1:D6751,"NO MATCH VM FOUND",WholeDay!E1:E6751,"&gt;="&amp;V7,WholeDay!E1:E6751,"&lt;="&amp;W7)</f>
        <v>2</v>
      </c>
      <c r="G7">
        <f ca="1">COUNTIFS(WholeDay!D1:D6751,"Connection*",WholeDay!E1:E6751,"&gt;="&amp;V7,WholeDay!E1:E6751,"&lt;="&amp;W7)</f>
        <v>24</v>
      </c>
      <c r="H7">
        <f ca="1">COUNTIFS(WholeDay!D6:D6751,"Account Locked",WholeDay!E6:E6751,"&gt;="&amp;V7,WholeDay!E6:E6751,"&lt;="&amp;W7)</f>
        <v>5</v>
      </c>
      <c r="I7" s="7">
        <v>0.20833333333333301</v>
      </c>
      <c r="J7">
        <f ca="1">COUNTIFS(WholeDay!D6:D6751,"Dead",WholeDay!E6:E6751,"&gt;="&amp;V7,WholeDay!E6:E6751,"&lt;="&amp;W7)</f>
        <v>27</v>
      </c>
      <c r="K7">
        <f t="shared" ca="1" si="0"/>
        <v>53</v>
      </c>
      <c r="L7">
        <f t="shared" ca="1" si="3"/>
        <v>110</v>
      </c>
      <c r="M7">
        <f t="shared" ca="1" si="4"/>
        <v>10</v>
      </c>
      <c r="N7">
        <f t="shared" ca="1" si="1"/>
        <v>178</v>
      </c>
      <c r="O7" s="12" t="s">
        <v>596</v>
      </c>
      <c r="P7">
        <f t="shared" ca="1" si="2"/>
        <v>222</v>
      </c>
      <c r="Q7">
        <f t="shared" ca="1" si="5"/>
        <v>0</v>
      </c>
      <c r="R7" s="1">
        <f t="shared" ca="1" si="6"/>
        <v>5</v>
      </c>
      <c r="S7" s="5">
        <f>TIME(5,59,59)</f>
        <v>0.24998842592592593</v>
      </c>
      <c r="T7" s="4">
        <f t="shared" ca="1" si="7"/>
        <v>43336</v>
      </c>
      <c r="U7" s="5">
        <f>TIME(5,0,58)</f>
        <v>0.20900462962962962</v>
      </c>
      <c r="V7" s="2" t="str">
        <f t="shared" ca="1" si="9"/>
        <v>24/08/2018 05:00:58</v>
      </c>
      <c r="W7" s="2" t="str">
        <f t="shared" ca="1" si="8"/>
        <v>24/08/2018 05:59:59</v>
      </c>
    </row>
    <row r="8" spans="1:23" x14ac:dyDescent="0.25">
      <c r="A8" s="1">
        <f ca="1">COUNTIFS(WholeDay!D1:D6752,"Active",WholeDay!E1:E6752,"&gt;="&amp;V8,WholeDay!E1:E6752,"&lt;="&amp;W8)</f>
        <v>195</v>
      </c>
      <c r="B8">
        <f ca="1">COUNTIFS(WholeDay!D1:D6752,"Other",WholeDay!E1:E6752,"&gt;="&amp;V8,WholeDay!E1:E6752,"&lt;="&amp;W8)</f>
        <v>37</v>
      </c>
      <c r="C8">
        <f ca="1">COUNTIFS(WholeDay!D1:D6752,"Remote*",WholeDay!E1:E6752,"&gt;="&amp;V8,WholeDay!E1:E6752,"&lt;="&amp;W8)</f>
        <v>0</v>
      </c>
      <c r="D8">
        <f ca="1">COUNTIFS(WholeDay!D1:D6752,"Logged in as D*",WholeDay!E1:E6752,"&gt;="&amp;V8,WholeDay!E1:E6752,"&lt;="&amp;W8)</f>
        <v>1</v>
      </c>
      <c r="E8">
        <f ca="1">COUNTIFS(WholeDay!D1:D6752,"Logged in as N*",WholeDay!E1:E6752,"&gt;="&amp;V8,WholeDay!E1:E6752,"&lt;="&amp;W8)</f>
        <v>26</v>
      </c>
      <c r="F8">
        <f ca="1">COUNTIFS(WholeDay!D1:D6752,"NO MATCH VM FOUND",WholeDay!E1:E6752,"&gt;="&amp;V8,WholeDay!E1:E6752,"&lt;="&amp;W8)</f>
        <v>0</v>
      </c>
      <c r="G8">
        <f ca="1">COUNTIFS(WholeDay!D1:D6752,"Connection*",WholeDay!E1:E6752,"&gt;="&amp;V8,WholeDay!E1:E6752,"&lt;="&amp;W8)</f>
        <v>45</v>
      </c>
      <c r="H8">
        <f ca="1">COUNTIFS(WholeDay!D7:D6752,"Account Locked",WholeDay!E7:E6752,"&gt;="&amp;V8,WholeDay!E7:E6752,"&lt;="&amp;W8)</f>
        <v>15</v>
      </c>
      <c r="I8" s="7">
        <v>0.25</v>
      </c>
      <c r="J8">
        <f ca="1">COUNTIFS(WholeDay!D7:D6752,"Dead",WholeDay!E7:E6752,"&gt;="&amp;V8,WholeDay!E7:E6752,"&lt;="&amp;W8)</f>
        <v>23</v>
      </c>
      <c r="K8">
        <f t="shared" ca="1" si="0"/>
        <v>68</v>
      </c>
      <c r="L8">
        <f t="shared" ca="1" si="3"/>
        <v>222</v>
      </c>
      <c r="M8">
        <f t="shared" ca="1" si="4"/>
        <v>37</v>
      </c>
      <c r="N8">
        <f t="shared" ca="1" si="1"/>
        <v>342</v>
      </c>
      <c r="O8" s="12" t="s">
        <v>597</v>
      </c>
      <c r="P8">
        <f t="shared" ca="1" si="2"/>
        <v>58</v>
      </c>
      <c r="Q8">
        <f t="shared" ca="1" si="5"/>
        <v>0</v>
      </c>
      <c r="R8" s="1">
        <f t="shared" ca="1" si="6"/>
        <v>15</v>
      </c>
      <c r="S8" s="5">
        <f>TIME(6,59,59)</f>
        <v>0.29165509259259259</v>
      </c>
      <c r="T8" s="4">
        <f t="shared" ca="1" si="7"/>
        <v>43336</v>
      </c>
      <c r="U8" s="5">
        <f>TIME(6,0,58)</f>
        <v>0.25067129629629631</v>
      </c>
      <c r="V8" s="2" t="str">
        <f t="shared" ca="1" si="9"/>
        <v>24/08/2018 06:00:58</v>
      </c>
      <c r="W8" s="2" t="str">
        <f t="shared" ca="1" si="8"/>
        <v>24/08/2018 06:59:59</v>
      </c>
    </row>
    <row r="9" spans="1:23" x14ac:dyDescent="0.25">
      <c r="A9" s="1">
        <f ca="1">COUNTIFS(WholeDay!D1:D6753,"Active",WholeDay!E1:E6753,"&gt;="&amp;V9,WholeDay!E1:E6753,"&lt;="&amp;W9)</f>
        <v>188</v>
      </c>
      <c r="B9">
        <f ca="1">COUNTIFS(WholeDay!D1:D6753,"Other",WholeDay!E1:E6753,"&gt;="&amp;V9,WholeDay!E1:E6753,"&lt;="&amp;W9)</f>
        <v>13</v>
      </c>
      <c r="C9">
        <f ca="1">COUNTIFS(WholeDay!D1:D6753,"Remote*",WholeDay!E1:E6753,"&gt;="&amp;V9,WholeDay!E1:E6753,"&lt;="&amp;W9)</f>
        <v>2</v>
      </c>
      <c r="D9">
        <f ca="1">COUNTIFS(WholeDay!D1:D6753,"Logged in as D*",WholeDay!E1:E6753,"&gt;="&amp;V9,WholeDay!E1:E6753,"&lt;="&amp;W9)</f>
        <v>9</v>
      </c>
      <c r="E9">
        <f ca="1">COUNTIFS(WholeDay!D1:D6753,"Logged in as N*",WholeDay!E1:E6753,"&gt;="&amp;V9,WholeDay!E1:E6753,"&lt;="&amp;W9)</f>
        <v>16</v>
      </c>
      <c r="F9">
        <f ca="1">COUNTIFS(WholeDay!D1:D6753,"NO MATCH VM FOUND",WholeDay!E1:E6753,"&gt;="&amp;V9,WholeDay!E1:E6753,"&lt;="&amp;W9)</f>
        <v>0</v>
      </c>
      <c r="G9">
        <f ca="1">COUNTIFS(WholeDay!D1:D6753,"Connection*",WholeDay!E1:E6753,"&gt;="&amp;V9,WholeDay!E1:E6753,"&lt;="&amp;W9)</f>
        <v>6</v>
      </c>
      <c r="H9">
        <f ca="1">COUNTIFS(WholeDay!D8:D6753,"Account Locked",WholeDay!E8:E6753,"&gt;="&amp;V9,WholeDay!E8:E6753,"&lt;="&amp;W9)</f>
        <v>10</v>
      </c>
      <c r="I9" s="7">
        <v>0.29166666666666702</v>
      </c>
      <c r="J9">
        <f ca="1">COUNTIFS(WholeDay!D8:D6753,"Dead",WholeDay!E8:E6753,"&gt;="&amp;V9,WholeDay!E8:E6753,"&lt;="&amp;W9)</f>
        <v>14</v>
      </c>
      <c r="K9">
        <f t="shared" ca="1" si="0"/>
        <v>20</v>
      </c>
      <c r="L9">
        <f t="shared" ca="1" si="3"/>
        <v>213</v>
      </c>
      <c r="M9">
        <f t="shared" ca="1" si="4"/>
        <v>13</v>
      </c>
      <c r="N9">
        <f t="shared" ca="1" si="1"/>
        <v>258</v>
      </c>
      <c r="O9" s="12" t="s">
        <v>607</v>
      </c>
      <c r="P9">
        <f t="shared" ca="1" si="2"/>
        <v>142</v>
      </c>
      <c r="Q9">
        <f t="shared" ca="1" si="5"/>
        <v>2</v>
      </c>
      <c r="R9" s="1">
        <f t="shared" ca="1" si="6"/>
        <v>10</v>
      </c>
      <c r="S9" s="5">
        <f>TIME(7,59,59)</f>
        <v>0.33332175925925928</v>
      </c>
      <c r="T9" s="4">
        <f t="shared" ca="1" si="7"/>
        <v>43336</v>
      </c>
      <c r="U9" s="5">
        <f>TIME(7,0,58)</f>
        <v>0.29233796296296294</v>
      </c>
      <c r="V9" s="2" t="str">
        <f t="shared" ca="1" si="9"/>
        <v>24/08/2018 07:00:58</v>
      </c>
      <c r="W9" s="2" t="str">
        <f t="shared" ca="1" si="8"/>
        <v>24/08/2018 07:59:59</v>
      </c>
    </row>
    <row r="10" spans="1:23" x14ac:dyDescent="0.25">
      <c r="A10" s="1">
        <f ca="1">COUNTIFS(WholeDay!D1:D6754,"Active",WholeDay!E1:E6754,"&gt;="&amp;V10,WholeDay!E1:E6754,"&lt;="&amp;W10)</f>
        <v>113</v>
      </c>
      <c r="B10">
        <f ca="1">COUNTIFS(WholeDay!D1:D6754,"Other",WholeDay!E1:E6754,"&gt;="&amp;V10,WholeDay!E1:E6754,"&lt;="&amp;W10)</f>
        <v>2</v>
      </c>
      <c r="C10">
        <f ca="1">COUNTIFS(WholeDay!D1:D6754,"Remote*",WholeDay!E1:E6754,"&gt;="&amp;V10,WholeDay!E1:E6754,"&lt;="&amp;W10)</f>
        <v>0</v>
      </c>
      <c r="D10">
        <f ca="1">COUNTIFS(WholeDay!D1:D6754,"Logged in as D*",WholeDay!E1:E6754,"&gt;="&amp;V10,WholeDay!E1:E6754,"&lt;="&amp;W10)</f>
        <v>0</v>
      </c>
      <c r="E10">
        <f ca="1">COUNTIFS(WholeDay!D1:D6754,"Logged in as N*",WholeDay!E1:E6754,"&gt;="&amp;V10,WholeDay!E1:E6754,"&lt;="&amp;W10)</f>
        <v>1</v>
      </c>
      <c r="F10">
        <f ca="1">COUNTIFS(WholeDay!D1:D6754,"NO MATCH VM FOUND",WholeDay!E1:E6754,"&gt;="&amp;V10,WholeDay!E1:E6754,"&lt;="&amp;W10)</f>
        <v>0</v>
      </c>
      <c r="G10">
        <f ca="1">COUNTIFS(WholeDay!D1:D6754,"Connection*",WholeDay!E1:E6754,"&gt;="&amp;V10,WholeDay!E1:E6754,"&lt;="&amp;W10)</f>
        <v>2</v>
      </c>
      <c r="H10">
        <f ca="1">COUNTIFS(WholeDay!D9:D6754,"Account Locked",WholeDay!E9:E6754,"&gt;="&amp;V10,WholeDay!E9:E6754,"&lt;="&amp;W10)</f>
        <v>4</v>
      </c>
      <c r="I10" s="7">
        <v>0.33333333333333298</v>
      </c>
      <c r="J10">
        <f ca="1">COUNTIFS(WholeDay!D9:D6754,"Dead",WholeDay!E9:E6754,"&gt;="&amp;V10,WholeDay!E9:E6754,"&lt;="&amp;W10)</f>
        <v>22</v>
      </c>
      <c r="K10">
        <f t="shared" ca="1" si="0"/>
        <v>24</v>
      </c>
      <c r="L10">
        <f t="shared" ca="1" si="3"/>
        <v>114</v>
      </c>
      <c r="M10">
        <f t="shared" ca="1" si="4"/>
        <v>2</v>
      </c>
      <c r="N10">
        <f t="shared" ca="1" si="1"/>
        <v>144</v>
      </c>
      <c r="O10" s="12" t="s">
        <v>598</v>
      </c>
      <c r="P10">
        <f t="shared" ca="1" si="2"/>
        <v>256</v>
      </c>
      <c r="Q10">
        <f t="shared" ca="1" si="5"/>
        <v>0</v>
      </c>
      <c r="R10" s="1">
        <f t="shared" ca="1" si="6"/>
        <v>4</v>
      </c>
      <c r="S10" s="5">
        <f>TIME(8,59,59)</f>
        <v>0.37498842592592596</v>
      </c>
      <c r="T10" s="4">
        <f t="shared" ca="1" si="7"/>
        <v>43336</v>
      </c>
      <c r="U10" s="5">
        <f>TIME(8,0,58)</f>
        <v>0.33400462962962968</v>
      </c>
      <c r="V10" s="2" t="str">
        <f t="shared" ca="1" si="9"/>
        <v>24/08/2018 08:00:58</v>
      </c>
      <c r="W10" s="2" t="str">
        <f t="shared" ca="1" si="8"/>
        <v>24/08/2018 08:59:59</v>
      </c>
    </row>
    <row r="11" spans="1:23" x14ac:dyDescent="0.25">
      <c r="A11" s="1">
        <f ca="1">COUNTIFS(WholeDay!D1:D6755,"Active",WholeDay!E1:E6755,"&gt;="&amp;V11,WholeDay!E1:E6755,"&lt;="&amp;W11)</f>
        <v>105</v>
      </c>
      <c r="B11">
        <f ca="1">COUNTIFS(WholeDay!D1:D6755,"Other",WholeDay!E1:E6755,"&gt;="&amp;V11,WholeDay!E1:E6755,"&lt;="&amp;W11)</f>
        <v>7</v>
      </c>
      <c r="C11">
        <f ca="1">COUNTIFS(WholeDay!D1:D6755,"Remote*",WholeDay!E1:E6755,"&gt;="&amp;V11,WholeDay!E1:E6755,"&lt;="&amp;W11)</f>
        <v>0</v>
      </c>
      <c r="D11">
        <f ca="1">COUNTIFS(WholeDay!D1:D6755,"Logged in as D*",WholeDay!E1:E6755,"&gt;="&amp;V11,WholeDay!E1:E6755,"&lt;="&amp;W11)</f>
        <v>0</v>
      </c>
      <c r="E11">
        <f ca="1">COUNTIFS(WholeDay!D1:D6755,"Logged in as N*",WholeDay!E1:E6755,"&gt;="&amp;V11,WholeDay!E1:E6755,"&lt;="&amp;W11)</f>
        <v>0</v>
      </c>
      <c r="F11">
        <f ca="1">COUNTIFS(WholeDay!D1:D6755,"NO MATCH VM FOUND",WholeDay!E1:E6755,"&gt;="&amp;V11,WholeDay!E1:E6755,"&lt;="&amp;W11)</f>
        <v>10</v>
      </c>
      <c r="G11">
        <f ca="1">COUNTIFS(WholeDay!D1:D6755,"Connection*",WholeDay!E1:E6755,"&gt;="&amp;V11,WholeDay!E1:E6755,"&lt;="&amp;W11)</f>
        <v>2</v>
      </c>
      <c r="H11">
        <f ca="1">COUNTIFS(WholeDay!D10:D6755,"Account Locked",WholeDay!E10:E6755,"&gt;="&amp;V11,WholeDay!E10:E6755,"&lt;="&amp;W11)</f>
        <v>1</v>
      </c>
      <c r="I11" s="7">
        <v>0.375</v>
      </c>
      <c r="J11">
        <f ca="1">COUNTIFS(WholeDay!D10:D6755,"Dead",WholeDay!E10:E6755,"&gt;="&amp;V11,WholeDay!E10:E6755,"&lt;="&amp;W11)</f>
        <v>14</v>
      </c>
      <c r="K11">
        <f t="shared" ca="1" si="0"/>
        <v>26</v>
      </c>
      <c r="L11">
        <f t="shared" ca="1" si="3"/>
        <v>105</v>
      </c>
      <c r="M11">
        <f t="shared" ca="1" si="4"/>
        <v>7</v>
      </c>
      <c r="N11">
        <f t="shared" ca="1" si="1"/>
        <v>139</v>
      </c>
      <c r="O11" s="12" t="s">
        <v>599</v>
      </c>
      <c r="P11">
        <f t="shared" ca="1" si="2"/>
        <v>261</v>
      </c>
      <c r="Q11">
        <f t="shared" ca="1" si="5"/>
        <v>0</v>
      </c>
      <c r="R11" s="1">
        <f t="shared" ca="1" si="6"/>
        <v>1</v>
      </c>
      <c r="S11" s="5">
        <f>TIME(9,59,59)</f>
        <v>0.41665509259259265</v>
      </c>
      <c r="T11" s="4">
        <f t="shared" ca="1" si="7"/>
        <v>43336</v>
      </c>
      <c r="U11" s="5">
        <f>TIME(9,0,58)</f>
        <v>0.37567129629629631</v>
      </c>
      <c r="V11" s="2" t="str">
        <f t="shared" ca="1" si="9"/>
        <v>24/08/2018 09:00:58</v>
      </c>
      <c r="W11" s="2" t="str">
        <f t="shared" ca="1" si="8"/>
        <v>24/08/2018 09:59:59</v>
      </c>
    </row>
    <row r="12" spans="1:23" x14ac:dyDescent="0.25">
      <c r="A12" s="1">
        <f ca="1">COUNTIFS(WholeDay!D2:D6756,"Active",WholeDay!E2:E6756,"&gt;="&amp;V12,WholeDay!E2:E6756,"&lt;="&amp;W12)</f>
        <v>47</v>
      </c>
      <c r="B12">
        <f ca="1">COUNTIFS(WholeDay!D2:D6756,"Other",WholeDay!E2:E6756,"&gt;="&amp;V12,WholeDay!E2:E6756,"&lt;="&amp;W12)</f>
        <v>0</v>
      </c>
      <c r="C12">
        <f ca="1">COUNTIFS(WholeDay!D2:D6756,"Remote*",WholeDay!E2:E6756,"&gt;="&amp;V12,WholeDay!E2:E6756,"&lt;="&amp;W12)</f>
        <v>0</v>
      </c>
      <c r="D12">
        <f ca="1">COUNTIFS(WholeDay!D2:D6756,"Logged in as D*",WholeDay!E2:E6756,"&gt;="&amp;V12,WholeDay!E2:E6756,"&lt;="&amp;W12)</f>
        <v>0</v>
      </c>
      <c r="E12">
        <f ca="1">COUNTIFS(WholeDay!D1:D6756,"Logged in as N*",WholeDay!E1:E6756,"&gt;="&amp;V12,WholeDay!E1:E6756,"&lt;="&amp;W12)</f>
        <v>0</v>
      </c>
      <c r="F12">
        <f ca="1">COUNTIFS(WholeDay!D1:D6756,"NO MATCH VM FOUND",WholeDay!E1:E6756,"&gt;="&amp;V12,WholeDay!E1:E6756,"&lt;="&amp;W12)</f>
        <v>0</v>
      </c>
      <c r="G12">
        <f ca="1">COUNTIFS(WholeDay!D1:D6756,"Connection*",WholeDay!E1:E6756,"&gt;="&amp;V12,WholeDay!E1:E6756,"&lt;="&amp;W12)</f>
        <v>1</v>
      </c>
      <c r="H12">
        <f ca="1">COUNTIFS(WholeDay!D11:D6756,"Account Locked",WholeDay!E11:E6756,"&gt;="&amp;V12,WholeDay!E11:E6756,"&lt;="&amp;W12)</f>
        <v>0</v>
      </c>
      <c r="I12" s="7">
        <v>0.41666666666666702</v>
      </c>
      <c r="J12">
        <f ca="1">COUNTIFS(WholeDay!D11:D6756,"Dead",WholeDay!E11:E6756,"&gt;="&amp;V12,WholeDay!E11:E6756,"&lt;="&amp;W12)</f>
        <v>3</v>
      </c>
      <c r="K12">
        <f t="shared" ca="1" si="0"/>
        <v>4</v>
      </c>
      <c r="L12">
        <f t="shared" ca="1" si="3"/>
        <v>47</v>
      </c>
      <c r="M12">
        <f t="shared" ca="1" si="4"/>
        <v>0</v>
      </c>
      <c r="N12">
        <f t="shared" ca="1" si="1"/>
        <v>51</v>
      </c>
      <c r="O12" s="12" t="s">
        <v>600</v>
      </c>
      <c r="P12">
        <f t="shared" ca="1" si="2"/>
        <v>349</v>
      </c>
      <c r="Q12">
        <f t="shared" ca="1" si="5"/>
        <v>0</v>
      </c>
      <c r="R12" s="1">
        <f t="shared" ca="1" si="6"/>
        <v>0</v>
      </c>
      <c r="S12" s="5">
        <f>TIME(10,59,59)</f>
        <v>0.45832175925925928</v>
      </c>
      <c r="T12" s="4">
        <f t="shared" ca="1" si="7"/>
        <v>43336</v>
      </c>
      <c r="U12" s="5">
        <f>TIME(10,0,58)</f>
        <v>0.41733796296296299</v>
      </c>
      <c r="V12" s="2" t="str">
        <f t="shared" ca="1" si="9"/>
        <v>24/08/2018 10:00:58</v>
      </c>
      <c r="W12" s="2" t="str">
        <f t="shared" ca="1" si="8"/>
        <v>24/08/2018 10:59:59</v>
      </c>
    </row>
    <row r="13" spans="1:23" x14ac:dyDescent="0.25">
      <c r="A13" s="1">
        <f ca="1">COUNTIFS(WholeDay!D3:D6757,"Active",WholeDay!E3:E6757,"&gt;="&amp;V13,WholeDay!E3:E6757,"&lt;="&amp;W13)</f>
        <v>0</v>
      </c>
      <c r="B13">
        <f ca="1">COUNTIFS(WholeDay!D3:D6757,"Other",WholeDay!E3:E6757,"&gt;="&amp;V13,WholeDay!E3:E6757,"&lt;="&amp;W13)</f>
        <v>0</v>
      </c>
      <c r="C13">
        <f ca="1">COUNTIFS(WholeDay!D3:D6757,"Remote*",WholeDay!E3:E6757,"&gt;="&amp;V13,WholeDay!E3:E6757,"&lt;="&amp;W13)</f>
        <v>0</v>
      </c>
      <c r="D13">
        <f ca="1">COUNTIFS(WholeDay!D3:D6757,"Logged in as D*",WholeDay!E3:E6757,"&gt;="&amp;V13,WholeDay!E3:E6757,"&lt;="&amp;W13)</f>
        <v>0</v>
      </c>
      <c r="E13">
        <f ca="1">COUNTIFS(WholeDay!D1:D6757,"Logged in as N*",WholeDay!E1:E6757,"&gt;="&amp;V13,WholeDay!E1:E6757,"&lt;="&amp;W13)</f>
        <v>0</v>
      </c>
      <c r="F13">
        <f ca="1">COUNTIFS(WholeDay!D1:D6757,"NO MATCH VM FOUND",WholeDay!E1:E6757,"&gt;="&amp;V13,WholeDay!E1:E6757,"&lt;="&amp;W13)</f>
        <v>0</v>
      </c>
      <c r="G13">
        <f ca="1">COUNTIFS(WholeDay!D2:D6757,"Connection*",WholeDay!E2:E6757,"&gt;="&amp;V13,WholeDay!E2:E6757,"&lt;="&amp;W13)</f>
        <v>0</v>
      </c>
      <c r="H13">
        <f ca="1">COUNTIFS(WholeDay!D12:D6757,"Account Locked",WholeDay!E12:E6757,"&gt;="&amp;V13,WholeDay!E12:E6757,"&lt;="&amp;W13)</f>
        <v>0</v>
      </c>
      <c r="I13" s="7">
        <v>0.45833333333333298</v>
      </c>
      <c r="J13">
        <f ca="1">COUNTIFS(WholeDay!D12:D6757,"Dead",WholeDay!E12:E6757,"&gt;="&amp;V13,WholeDay!E12:E6757,"&lt;="&amp;W13)</f>
        <v>0</v>
      </c>
      <c r="K13">
        <f t="shared" ca="1" si="0"/>
        <v>0</v>
      </c>
      <c r="L13">
        <f t="shared" ca="1" si="3"/>
        <v>0</v>
      </c>
      <c r="M13">
        <f t="shared" ca="1" si="4"/>
        <v>0</v>
      </c>
      <c r="N13">
        <f t="shared" ca="1" si="1"/>
        <v>0</v>
      </c>
      <c r="O13" s="12" t="s">
        <v>601</v>
      </c>
      <c r="P13">
        <f t="shared" ca="1" si="2"/>
        <v>400</v>
      </c>
      <c r="Q13">
        <f t="shared" ca="1" si="5"/>
        <v>0</v>
      </c>
      <c r="R13" s="1">
        <f t="shared" ca="1" si="6"/>
        <v>0</v>
      </c>
      <c r="S13" s="5">
        <f>TIME(11,59,59)</f>
        <v>0.49998842592592596</v>
      </c>
      <c r="T13" s="4">
        <f t="shared" ca="1" si="7"/>
        <v>43336</v>
      </c>
      <c r="U13" s="5">
        <f>TIME(11,0,1)</f>
        <v>0.45834490740740735</v>
      </c>
      <c r="V13" s="2" t="str">
        <f t="shared" ca="1" si="9"/>
        <v>24/08/2018 11:00:01</v>
      </c>
      <c r="W13" s="2" t="str">
        <f t="shared" ca="1" si="8"/>
        <v>24/08/2018 11:59:59</v>
      </c>
    </row>
    <row r="14" spans="1:23" x14ac:dyDescent="0.25">
      <c r="A14" s="1">
        <f ca="1">COUNTIFS(WholeDay!D4:D6758,"Active",WholeDay!E4:E6758,"&gt;="&amp;V14,WholeDay!E4:E6758,"&lt;="&amp;W14)</f>
        <v>0</v>
      </c>
      <c r="B14">
        <f ca="1">COUNTIFS(WholeDay!D4:D6758,"Other",WholeDay!E4:E6758,"&gt;="&amp;V14,WholeDay!E4:E6758,"&lt;="&amp;W14)</f>
        <v>0</v>
      </c>
      <c r="C14">
        <f ca="1">COUNTIFS(WholeDay!D4:D6758,"Remote*",WholeDay!E4:E6758,"&gt;="&amp;V14,WholeDay!E4:E6758,"&lt;="&amp;W14)</f>
        <v>0</v>
      </c>
      <c r="D14">
        <f ca="1">COUNTIFS(WholeDay!D4:D6758,"Logged in as D*",WholeDay!E4:E6758,"&gt;="&amp;V14,WholeDay!E4:E6758,"&lt;="&amp;W14)</f>
        <v>0</v>
      </c>
      <c r="E14">
        <f ca="1">COUNTIFS(WholeDay!D2:D6758,"Logged in as N*",WholeDay!E2:E6758,"&gt;="&amp;V14,WholeDay!E2:E6758,"&lt;="&amp;W14)</f>
        <v>0</v>
      </c>
      <c r="F14">
        <f ca="1">COUNTIFS(WholeDay!D2:D6758,"NO MATCH VM FOUND",WholeDay!E2:E6758,"&gt;="&amp;V14,WholeDay!E2:E6758,"&lt;="&amp;W14)</f>
        <v>0</v>
      </c>
      <c r="G14">
        <f ca="1">COUNTIFS(WholeDay!D3:D6758,"Connection*",WholeDay!E3:E6758,"&gt;="&amp;V14,WholeDay!E3:E6758,"&lt;="&amp;W14)</f>
        <v>0</v>
      </c>
      <c r="H14">
        <f ca="1">COUNTIFS(WholeDay!D13:D6758,"Account Locked",WholeDay!E13:E6758,"&gt;="&amp;V14,WholeDay!E13:E6758,"&lt;="&amp;W14)</f>
        <v>0</v>
      </c>
      <c r="I14" s="7">
        <v>0.5</v>
      </c>
      <c r="J14">
        <f ca="1">COUNTIFS(WholeDay!D13:D6758,"Dead",WholeDay!E13:E6758,"&gt;="&amp;V14,WholeDay!E13:E6758,"&lt;="&amp;W14)</f>
        <v>0</v>
      </c>
      <c r="K14">
        <f t="shared" ca="1" si="0"/>
        <v>0</v>
      </c>
      <c r="L14">
        <f t="shared" ref="L14:L25" ca="1" si="10">SUM(A14,D14,E14)</f>
        <v>0</v>
      </c>
      <c r="M14" s="1">
        <f t="shared" ref="M14:M25" ca="1" si="11">SUM(B14)</f>
        <v>0</v>
      </c>
      <c r="N14" s="1">
        <f t="shared" ref="N14:N25" ca="1" si="12">SUM(K14,L14,M14,Q14,R14)</f>
        <v>0</v>
      </c>
      <c r="O14" s="12" t="s">
        <v>602</v>
      </c>
      <c r="P14" s="1">
        <f t="shared" ref="P14:P25" ca="1" si="13">SUM(400,-N14)</f>
        <v>400</v>
      </c>
      <c r="Q14" s="1">
        <f t="shared" ref="Q14:Q25" ca="1" si="14">SUM(C14)</f>
        <v>0</v>
      </c>
      <c r="R14" s="1">
        <f t="shared" ref="R14:R25" ca="1" si="15">SUM(H14)</f>
        <v>0</v>
      </c>
      <c r="S14" s="5">
        <f>TIME(12,59,59)</f>
        <v>0.54165509259259259</v>
      </c>
      <c r="T14" s="4">
        <f t="shared" ca="1" si="7"/>
        <v>43336</v>
      </c>
      <c r="U14" s="5">
        <f>TIME(12,0,58)</f>
        <v>0.50067129629629636</v>
      </c>
      <c r="V14" s="2" t="str">
        <f t="shared" ca="1" si="9"/>
        <v>24/08/2018 12:00:58</v>
      </c>
      <c r="W14" s="2" t="str">
        <f t="shared" ca="1" si="8"/>
        <v>24/08/2018 12:59:59</v>
      </c>
    </row>
    <row r="15" spans="1:23" x14ac:dyDescent="0.25">
      <c r="A15" s="1">
        <f ca="1">COUNTIFS(WholeDay!D5:D6759,"Active",WholeDay!E5:E6759,"&gt;="&amp;V15,WholeDay!E5:E6759,"&lt;="&amp;W15)</f>
        <v>0</v>
      </c>
      <c r="B15">
        <f ca="1">COUNTIFS(WholeDay!D5:D6759,"Other",WholeDay!E5:E6759,"&gt;="&amp;V15,WholeDay!E5:E6759,"&lt;="&amp;W15)</f>
        <v>0</v>
      </c>
      <c r="C15">
        <f ca="1">COUNTIFS(WholeDay!D5:D6759,"Remote*",WholeDay!E5:E6759,"&gt;="&amp;V15,WholeDay!E5:E6759,"&lt;="&amp;W15)</f>
        <v>0</v>
      </c>
      <c r="D15">
        <f ca="1">COUNTIFS(WholeDay!D5:D6759,"Logged in as D*",WholeDay!E5:E6759,"&gt;="&amp;V15,WholeDay!E5:E6759,"&lt;="&amp;W15)</f>
        <v>0</v>
      </c>
      <c r="E15">
        <f ca="1">COUNTIFS(WholeDay!D3:D6759,"Logged in as N*",WholeDay!E3:E6759,"&gt;="&amp;V15,WholeDay!E3:E6759,"&lt;="&amp;W15)</f>
        <v>0</v>
      </c>
      <c r="F15">
        <f ca="1">COUNTIFS(WholeDay!D3:D6759,"NO MATCH VM FOUND",WholeDay!E3:E6759,"&gt;="&amp;V15,WholeDay!E3:E6759,"&lt;="&amp;W15)</f>
        <v>0</v>
      </c>
      <c r="G15">
        <f ca="1">COUNTIFS(WholeDay!D4:D6759,"Connection*",WholeDay!E4:E6759,"&gt;="&amp;V15,WholeDay!E4:E6759,"&lt;="&amp;W15)</f>
        <v>0</v>
      </c>
      <c r="H15">
        <f ca="1">COUNTIFS(WholeDay!D14:D6759,"Account Locked",WholeDay!E14:E6759,"&gt;="&amp;V15,WholeDay!E14:E6759,"&lt;="&amp;W15)</f>
        <v>0</v>
      </c>
      <c r="I15" s="7">
        <v>0.54166666666666696</v>
      </c>
      <c r="J15">
        <f ca="1">COUNTIFS(WholeDay!D14:D6759,"Dead",WholeDay!E14:E6759,"&gt;="&amp;V15,WholeDay!E14:E6759,"&lt;="&amp;W15)</f>
        <v>0</v>
      </c>
      <c r="K15">
        <f t="shared" ca="1" si="0"/>
        <v>0</v>
      </c>
      <c r="L15">
        <f t="shared" ca="1" si="10"/>
        <v>0</v>
      </c>
      <c r="M15" s="1">
        <f t="shared" ca="1" si="11"/>
        <v>0</v>
      </c>
      <c r="N15" s="1">
        <f t="shared" ca="1" si="12"/>
        <v>0</v>
      </c>
      <c r="O15" s="12" t="s">
        <v>603</v>
      </c>
      <c r="P15" s="1">
        <f t="shared" ca="1" si="13"/>
        <v>400</v>
      </c>
      <c r="Q15" s="1">
        <f t="shared" ca="1" si="14"/>
        <v>0</v>
      </c>
      <c r="R15" s="1">
        <f t="shared" ca="1" si="15"/>
        <v>0</v>
      </c>
      <c r="S15" s="5">
        <f>TIME(13,59,59)</f>
        <v>0.58332175925925933</v>
      </c>
      <c r="T15" s="4">
        <f t="shared" ca="1" si="7"/>
        <v>43336</v>
      </c>
      <c r="U15" s="5">
        <f>TIME(13,0,58)</f>
        <v>0.54233796296296299</v>
      </c>
      <c r="V15" s="2" t="str">
        <f t="shared" ca="1" si="9"/>
        <v>24/08/2018 13:00:58</v>
      </c>
      <c r="W15" s="2" t="str">
        <f t="shared" ca="1" si="8"/>
        <v>24/08/2018 13:59:59</v>
      </c>
    </row>
    <row r="16" spans="1:23" x14ac:dyDescent="0.25">
      <c r="A16" s="1">
        <f ca="1">COUNTIFS(WholeDay!D6:D6760,"Active",WholeDay!E6:E6760,"&gt;="&amp;V16,WholeDay!E6:E6760,"&lt;="&amp;W16)</f>
        <v>0</v>
      </c>
      <c r="B16">
        <f ca="1">COUNTIFS(WholeDay!D6:D6760,"Other",WholeDay!E6:E6760,"&gt;="&amp;V16,WholeDay!E6:E6760,"&lt;="&amp;W16)</f>
        <v>0</v>
      </c>
      <c r="C16">
        <f ca="1">COUNTIFS(WholeDay!D6:D6760,"Remote*",WholeDay!E6:E6760,"&gt;="&amp;V16,WholeDay!E6:E6760,"&lt;="&amp;W16)</f>
        <v>0</v>
      </c>
      <c r="D16">
        <f ca="1">COUNTIFS(WholeDay!D6:D6760,"Logged in as D*",WholeDay!E6:E6760,"&gt;="&amp;V16,WholeDay!E6:E6760,"&lt;="&amp;W16)</f>
        <v>0</v>
      </c>
      <c r="E16">
        <f ca="1">COUNTIFS(WholeDay!D4:D6760,"Logged in as N*",WholeDay!E4:E6760,"&gt;="&amp;V16,WholeDay!E4:E6760,"&lt;="&amp;W16)</f>
        <v>0</v>
      </c>
      <c r="F16">
        <f ca="1">COUNTIFS(WholeDay!D4:D6760,"NO MATCH VM FOUND",WholeDay!E4:E6760,"&gt;="&amp;V16,WholeDay!E4:E6760,"&lt;="&amp;W16)</f>
        <v>0</v>
      </c>
      <c r="G16">
        <f ca="1">COUNTIFS(WholeDay!D5:D6760,"Connection*",WholeDay!E5:E6760,"&gt;="&amp;V16,WholeDay!E5:E6760,"&lt;="&amp;W16)</f>
        <v>0</v>
      </c>
      <c r="H16">
        <f ca="1">COUNTIFS(WholeDay!D15:D6760,"Account Locked",WholeDay!E15:E6760,"&gt;="&amp;V16,WholeDay!E15:E6760,"&lt;="&amp;W16)</f>
        <v>0</v>
      </c>
      <c r="I16" s="7">
        <v>0.58333333333333304</v>
      </c>
      <c r="J16">
        <f ca="1">COUNTIFS(WholeDay!D15:D6760,"Dead",WholeDay!E15:E6760,"&gt;="&amp;V16,WholeDay!E15:E6760,"&lt;="&amp;W16)</f>
        <v>0</v>
      </c>
      <c r="K16">
        <f t="shared" ca="1" si="0"/>
        <v>0</v>
      </c>
      <c r="L16">
        <f t="shared" ca="1" si="10"/>
        <v>0</v>
      </c>
      <c r="M16" s="1">
        <f t="shared" ca="1" si="11"/>
        <v>0</v>
      </c>
      <c r="N16" s="1">
        <f t="shared" ca="1" si="12"/>
        <v>0</v>
      </c>
      <c r="O16" s="12" t="s">
        <v>604</v>
      </c>
      <c r="P16" s="1">
        <f t="shared" ca="1" si="13"/>
        <v>400</v>
      </c>
      <c r="Q16" s="1">
        <f t="shared" ca="1" si="14"/>
        <v>0</v>
      </c>
      <c r="R16" s="1">
        <f t="shared" ca="1" si="15"/>
        <v>0</v>
      </c>
      <c r="S16" s="5">
        <f>TIME(14,59,59)</f>
        <v>0.62498842592592596</v>
      </c>
      <c r="T16" s="4">
        <f t="shared" ca="1" si="7"/>
        <v>43336</v>
      </c>
      <c r="U16" s="5">
        <f>TIME(14,0,58)</f>
        <v>0.58400462962962962</v>
      </c>
      <c r="V16" s="2" t="str">
        <f t="shared" ca="1" si="9"/>
        <v>24/08/2018 14:00:58</v>
      </c>
      <c r="W16" s="2" t="str">
        <f t="shared" ca="1" si="8"/>
        <v>24/08/2018 14:59:59</v>
      </c>
    </row>
    <row r="17" spans="1:23" x14ac:dyDescent="0.25">
      <c r="A17" s="1">
        <f ca="1">COUNTIFS(WholeDay!D7:D6761,"Active",WholeDay!E7:E6761,"&gt;="&amp;V17,WholeDay!E7:E6761,"&lt;="&amp;W17)</f>
        <v>0</v>
      </c>
      <c r="B17">
        <f ca="1">COUNTIFS(WholeDay!D7:D6761,"Other",WholeDay!E7:E6761,"&gt;="&amp;V17,WholeDay!E7:E6761,"&lt;="&amp;W17)</f>
        <v>0</v>
      </c>
      <c r="C17">
        <f ca="1">COUNTIFS(WholeDay!D7:D6761,"Remote*",WholeDay!E7:E6761,"&gt;="&amp;V17,WholeDay!E7:E6761,"&lt;="&amp;W17)</f>
        <v>0</v>
      </c>
      <c r="D17">
        <f ca="1">COUNTIFS(WholeDay!D7:D6761,"Logged in as D*",WholeDay!E7:E6761,"&gt;="&amp;V17,WholeDay!E7:E6761,"&lt;="&amp;W17)</f>
        <v>0</v>
      </c>
      <c r="E17">
        <f ca="1">COUNTIFS(WholeDay!D5:D6761,"Logged in as N*",WholeDay!E5:E6761,"&gt;="&amp;V17,WholeDay!E5:E6761,"&lt;="&amp;W17)</f>
        <v>0</v>
      </c>
      <c r="F17">
        <f ca="1">COUNTIFS(WholeDay!D5:D6761,"NO MATCH VM FOUND",WholeDay!E5:E6761,"&gt;="&amp;V17,WholeDay!E5:E6761,"&lt;="&amp;W17)</f>
        <v>0</v>
      </c>
      <c r="G17">
        <f ca="1">COUNTIFS(WholeDay!D6:D6761,"Connection*",WholeDay!E6:E6761,"&gt;="&amp;V17,WholeDay!E6:E6761,"&lt;="&amp;W17)</f>
        <v>0</v>
      </c>
      <c r="H17">
        <f ca="1">COUNTIFS(WholeDay!D16:D6761,"Account Locked",WholeDay!E16:E6761,"&gt;="&amp;V17,WholeDay!E16:E6761,"&lt;="&amp;W17)</f>
        <v>0</v>
      </c>
      <c r="I17" s="7">
        <v>0.625</v>
      </c>
      <c r="J17">
        <f ca="1">COUNTIFS(WholeDay!D16:D6761,"Dead",WholeDay!E16:E6761,"&gt;="&amp;V17,WholeDay!E16:E6761,"&lt;="&amp;W17)</f>
        <v>0</v>
      </c>
      <c r="K17">
        <f t="shared" ca="1" si="0"/>
        <v>0</v>
      </c>
      <c r="L17">
        <f t="shared" ca="1" si="10"/>
        <v>0</v>
      </c>
      <c r="M17" s="1">
        <f t="shared" ca="1" si="11"/>
        <v>0</v>
      </c>
      <c r="N17" s="1">
        <f t="shared" ca="1" si="12"/>
        <v>0</v>
      </c>
      <c r="O17" s="12" t="s">
        <v>605</v>
      </c>
      <c r="P17" s="1">
        <f t="shared" ca="1" si="13"/>
        <v>400</v>
      </c>
      <c r="Q17" s="1">
        <f t="shared" ca="1" si="14"/>
        <v>0</v>
      </c>
      <c r="R17" s="1">
        <f t="shared" ca="1" si="15"/>
        <v>0</v>
      </c>
      <c r="S17" s="5">
        <f>TIME(15,59,59)</f>
        <v>0.66665509259259259</v>
      </c>
      <c r="T17" s="4">
        <f t="shared" ca="1" si="7"/>
        <v>43336</v>
      </c>
      <c r="U17" s="5">
        <f>TIME(15,0,58)</f>
        <v>0.62567129629629636</v>
      </c>
      <c r="V17" s="2" t="str">
        <f t="shared" ca="1" si="9"/>
        <v>24/08/2018 15:00:58</v>
      </c>
      <c r="W17" s="2" t="str">
        <f t="shared" ca="1" si="8"/>
        <v>24/08/2018 15:59:59</v>
      </c>
    </row>
    <row r="18" spans="1:23" x14ac:dyDescent="0.25">
      <c r="A18" s="1">
        <f ca="1">COUNTIFS(WholeDay!D8:D6762,"Active",WholeDay!E8:E6762,"&gt;="&amp;V18,WholeDay!E8:E6762,"&lt;="&amp;W18)</f>
        <v>0</v>
      </c>
      <c r="B18">
        <f ca="1">COUNTIFS(WholeDay!D8:D6762,"Other",WholeDay!E8:E6762,"&gt;="&amp;V18,WholeDay!E8:E6762,"&lt;="&amp;W18)</f>
        <v>0</v>
      </c>
      <c r="C18">
        <f ca="1">COUNTIFS(WholeDay!D8:D6762,"Remote*",WholeDay!E8:E6762,"&gt;="&amp;V18,WholeDay!E8:E6762,"&lt;="&amp;W18)</f>
        <v>0</v>
      </c>
      <c r="D18">
        <f ca="1">COUNTIFS(WholeDay!D8:D6762,"Logged in as D*",WholeDay!E8:E6762,"&gt;="&amp;V18,WholeDay!E8:E6762,"&lt;="&amp;W18)</f>
        <v>0</v>
      </c>
      <c r="E18">
        <f ca="1">COUNTIFS(WholeDay!D6:D6762,"Logged in as N*",WholeDay!E6:E6762,"&gt;="&amp;V18,WholeDay!E6:E6762,"&lt;="&amp;W18)</f>
        <v>0</v>
      </c>
      <c r="F18">
        <f ca="1">COUNTIFS(WholeDay!D6:D6762,"NO MATCH VM FOUND",WholeDay!E6:E6762,"&gt;="&amp;V18,WholeDay!E6:E6762,"&lt;="&amp;W18)</f>
        <v>0</v>
      </c>
      <c r="G18">
        <f ca="1">COUNTIFS(WholeDay!D7:D6762,"Connection*",WholeDay!E7:E6762,"&gt;="&amp;V18,WholeDay!E7:E6762,"&lt;="&amp;W18)</f>
        <v>0</v>
      </c>
      <c r="H18">
        <f ca="1">COUNTIFS(WholeDay!D17:D6762,"Account Locked",WholeDay!E17:E6762,"&gt;="&amp;V18,WholeDay!E17:E6762,"&lt;="&amp;W18)</f>
        <v>0</v>
      </c>
      <c r="I18" s="7">
        <v>0.66666666666666696</v>
      </c>
      <c r="J18">
        <f ca="1">COUNTIFS(WholeDay!D17:D6762,"Dead",WholeDay!E17:E6762,"&gt;="&amp;V18,WholeDay!E17:E6762,"&lt;="&amp;W18)</f>
        <v>0</v>
      </c>
      <c r="K18">
        <f t="shared" ca="1" si="0"/>
        <v>0</v>
      </c>
      <c r="L18">
        <f t="shared" ca="1" si="10"/>
        <v>0</v>
      </c>
      <c r="M18" s="1">
        <f t="shared" ca="1" si="11"/>
        <v>0</v>
      </c>
      <c r="N18" s="1">
        <f t="shared" ca="1" si="12"/>
        <v>0</v>
      </c>
      <c r="O18" s="12" t="s">
        <v>606</v>
      </c>
      <c r="P18" s="1">
        <f t="shared" ca="1" si="13"/>
        <v>400</v>
      </c>
      <c r="Q18" s="1">
        <f t="shared" ca="1" si="14"/>
        <v>0</v>
      </c>
      <c r="R18" s="1">
        <f t="shared" ca="1" si="15"/>
        <v>0</v>
      </c>
      <c r="S18" s="5">
        <f>TIME(16,59,59)</f>
        <v>0.70832175925925922</v>
      </c>
      <c r="T18" s="4">
        <f t="shared" ca="1" si="7"/>
        <v>43336</v>
      </c>
      <c r="U18" s="5">
        <f>TIME(16,0,58)</f>
        <v>0.66733796296296299</v>
      </c>
      <c r="V18" s="2" t="str">
        <f t="shared" ca="1" si="9"/>
        <v>24/08/2018 16:00:58</v>
      </c>
      <c r="W18" s="2" t="str">
        <f t="shared" ca="1" si="8"/>
        <v>24/08/2018 16:59:59</v>
      </c>
    </row>
    <row r="19" spans="1:23" x14ac:dyDescent="0.25">
      <c r="A19" s="1">
        <f ca="1">COUNTIFS(WholeDay!D9:D6763,"Active",WholeDay!E9:E6763,"&gt;="&amp;V19,WholeDay!E9:E6763,"&lt;="&amp;W19)</f>
        <v>0</v>
      </c>
      <c r="B19">
        <f ca="1">COUNTIFS(WholeDay!D9:D6763,"Other",WholeDay!E9:E6763,"&gt;="&amp;V19,WholeDay!E9:E6763,"&lt;="&amp;W19)</f>
        <v>0</v>
      </c>
      <c r="C19">
        <f ca="1">COUNTIFS(WholeDay!D9:D6763,"Remote*",WholeDay!E9:E6763,"&gt;="&amp;V19,WholeDay!E9:E6763,"&lt;="&amp;W19)</f>
        <v>0</v>
      </c>
      <c r="D19">
        <f ca="1">COUNTIFS(WholeDay!D9:D6763,"Logged in as D*",WholeDay!E9:E6763,"&gt;="&amp;V19,WholeDay!E9:E6763,"&lt;="&amp;W19)</f>
        <v>0</v>
      </c>
      <c r="E19">
        <f ca="1">COUNTIFS(WholeDay!D7:D6763,"Logged in as N*",WholeDay!E7:E6763,"&gt;="&amp;V19,WholeDay!E7:E6763,"&lt;="&amp;W19)</f>
        <v>0</v>
      </c>
      <c r="F19">
        <f ca="1">COUNTIFS(WholeDay!D7:D6763,"NO MATCH VM FOUND",WholeDay!E7:E6763,"&gt;="&amp;V19,WholeDay!E7:E6763,"&lt;="&amp;W19)</f>
        <v>0</v>
      </c>
      <c r="G19">
        <f ca="1">COUNTIFS(WholeDay!D8:D6763,"Connection*",WholeDay!E8:E6763,"&gt;="&amp;V19,WholeDay!E8:E6763,"&lt;="&amp;W19)</f>
        <v>0</v>
      </c>
      <c r="H19">
        <f ca="1">COUNTIFS(WholeDay!D18:D6763,"Account Locked",WholeDay!E18:E6763,"&gt;="&amp;V19,WholeDay!E18:E6763,"&lt;="&amp;W19)</f>
        <v>0</v>
      </c>
      <c r="I19" s="7">
        <v>0.70833333333333304</v>
      </c>
      <c r="J19">
        <f ca="1">COUNTIFS(WholeDay!D18:D6763,"Dead",WholeDay!E18:E6763,"&gt;="&amp;V19,WholeDay!E18:E6763,"&lt;="&amp;W19)</f>
        <v>0</v>
      </c>
      <c r="K19">
        <f t="shared" ca="1" si="0"/>
        <v>0</v>
      </c>
      <c r="L19">
        <f t="shared" ca="1" si="10"/>
        <v>0</v>
      </c>
      <c r="M19" s="1">
        <f t="shared" ca="1" si="11"/>
        <v>0</v>
      </c>
      <c r="N19" s="1">
        <f t="shared" ca="1" si="12"/>
        <v>0</v>
      </c>
      <c r="O19" s="12" t="s">
        <v>608</v>
      </c>
      <c r="P19" s="1">
        <f t="shared" ca="1" si="13"/>
        <v>400</v>
      </c>
      <c r="Q19" s="1">
        <f t="shared" ca="1" si="14"/>
        <v>0</v>
      </c>
      <c r="R19" s="1">
        <f t="shared" ca="1" si="15"/>
        <v>0</v>
      </c>
      <c r="S19" s="5">
        <f>TIME(17,59,59)</f>
        <v>0.74998842592592585</v>
      </c>
      <c r="T19" s="4">
        <f t="shared" ca="1" si="7"/>
        <v>43336</v>
      </c>
      <c r="U19" s="5">
        <f>TIME(17,0,58)</f>
        <v>0.70900462962962962</v>
      </c>
      <c r="V19" s="2" t="str">
        <f t="shared" ca="1" si="9"/>
        <v>24/08/2018 17:00:58</v>
      </c>
      <c r="W19" s="2" t="str">
        <f t="shared" ca="1" si="8"/>
        <v>24/08/2018 17:59:59</v>
      </c>
    </row>
    <row r="20" spans="1:23" x14ac:dyDescent="0.25">
      <c r="A20" s="1">
        <f ca="1">COUNTIFS(WholeDay!D10:D6764,"Active",WholeDay!E10:E6764,"&gt;="&amp;V20,WholeDay!E10:E6764,"&lt;="&amp;W20)</f>
        <v>0</v>
      </c>
      <c r="B20">
        <f ca="1">COUNTIFS(WholeDay!D10:D6764,"Other",WholeDay!E10:E6764,"&gt;="&amp;V20,WholeDay!E10:E6764,"&lt;="&amp;W20)</f>
        <v>0</v>
      </c>
      <c r="C20">
        <f ca="1">COUNTIFS(WholeDay!D10:D6764,"Remote*",WholeDay!E10:E6764,"&gt;="&amp;V20,WholeDay!E10:E6764,"&lt;="&amp;W20)</f>
        <v>0</v>
      </c>
      <c r="D20">
        <f ca="1">COUNTIFS(WholeDay!D10:D6764,"Logged in as D*",WholeDay!E10:E6764,"&gt;="&amp;V20,WholeDay!E10:E6764,"&lt;="&amp;W20)</f>
        <v>0</v>
      </c>
      <c r="E20">
        <f ca="1">COUNTIFS(WholeDay!D8:D6764,"Logged in as N*",WholeDay!E8:E6764,"&gt;="&amp;V20,WholeDay!E8:E6764,"&lt;="&amp;W20)</f>
        <v>0</v>
      </c>
      <c r="F20">
        <f ca="1">COUNTIFS(WholeDay!D8:D6764,"NO MATCH VM FOUND",WholeDay!E8:E6764,"&gt;="&amp;V20,WholeDay!E8:E6764,"&lt;="&amp;W20)</f>
        <v>0</v>
      </c>
      <c r="G20">
        <f ca="1">COUNTIFS(WholeDay!D9:D6764,"Connection*",WholeDay!E9:E6764,"&gt;="&amp;V20,WholeDay!E9:E6764,"&lt;="&amp;W20)</f>
        <v>0</v>
      </c>
      <c r="H20">
        <f ca="1">COUNTIFS(WholeDay!D19:D6764,"Account Locked",WholeDay!E19:E6764,"&gt;="&amp;V20,WholeDay!E19:E6764,"&lt;="&amp;W20)</f>
        <v>0</v>
      </c>
      <c r="I20" s="7">
        <v>0.75</v>
      </c>
      <c r="J20">
        <f ca="1">COUNTIFS(WholeDay!D19:D6764,"Dead",WholeDay!E19:E6764,"&gt;="&amp;V20,WholeDay!E19:E6764,"&lt;="&amp;W20)</f>
        <v>0</v>
      </c>
      <c r="K20">
        <f t="shared" ca="1" si="0"/>
        <v>0</v>
      </c>
      <c r="L20">
        <f t="shared" ca="1" si="10"/>
        <v>0</v>
      </c>
      <c r="M20" s="1">
        <f t="shared" ca="1" si="11"/>
        <v>0</v>
      </c>
      <c r="N20" s="1">
        <f t="shared" ca="1" si="12"/>
        <v>0</v>
      </c>
      <c r="O20" s="12" t="s">
        <v>609</v>
      </c>
      <c r="P20" s="1">
        <f t="shared" ca="1" si="13"/>
        <v>400</v>
      </c>
      <c r="Q20" s="1">
        <f t="shared" ca="1" si="14"/>
        <v>0</v>
      </c>
      <c r="R20" s="1">
        <f t="shared" ca="1" si="15"/>
        <v>0</v>
      </c>
      <c r="S20" s="5">
        <f>TIME(18,59,59)</f>
        <v>0.79165509259259259</v>
      </c>
      <c r="T20" s="4">
        <f t="shared" ca="1" si="7"/>
        <v>43336</v>
      </c>
      <c r="U20" s="5">
        <f>TIME(18,0,58)</f>
        <v>0.75067129629629636</v>
      </c>
      <c r="V20" s="2" t="str">
        <f t="shared" ca="1" si="9"/>
        <v>24/08/2018 18:00:58</v>
      </c>
      <c r="W20" s="2" t="str">
        <f t="shared" ca="1" si="8"/>
        <v>24/08/2018 18:59:59</v>
      </c>
    </row>
    <row r="21" spans="1:23" x14ac:dyDescent="0.25">
      <c r="A21" s="1">
        <f ca="1">COUNTIFS(WholeDay!D11:D6765,"Active",WholeDay!E11:E6765,"&gt;="&amp;V21,WholeDay!E11:E6765,"&lt;="&amp;W21)</f>
        <v>0</v>
      </c>
      <c r="B21">
        <f ca="1">COUNTIFS(WholeDay!D11:D6765,"Other",WholeDay!E11:E6765,"&gt;="&amp;V21,WholeDay!E11:E6765,"&lt;="&amp;W21)</f>
        <v>0</v>
      </c>
      <c r="C21">
        <f ca="1">COUNTIFS(WholeDay!D11:D6765,"Remote*",WholeDay!E11:E6765,"&gt;="&amp;V21,WholeDay!E11:E6765,"&lt;="&amp;W21)</f>
        <v>0</v>
      </c>
      <c r="D21">
        <f ca="1">COUNTIFS(WholeDay!D11:D6765,"Logged in as D*",WholeDay!E11:E6765,"&gt;="&amp;V21,WholeDay!E11:E6765,"&lt;="&amp;W21)</f>
        <v>0</v>
      </c>
      <c r="E21">
        <f ca="1">COUNTIFS(WholeDay!D9:D6765,"Logged in as N*",WholeDay!E9:E6765,"&gt;="&amp;V21,WholeDay!E9:E6765,"&lt;="&amp;W21)</f>
        <v>0</v>
      </c>
      <c r="F21">
        <f ca="1">COUNTIFS(WholeDay!D9:D6765,"NO MATCH VM FOUND",WholeDay!E9:E6765,"&gt;="&amp;V21,WholeDay!E9:E6765,"&lt;="&amp;W21)</f>
        <v>0</v>
      </c>
      <c r="G21">
        <f ca="1">COUNTIFS(WholeDay!D10:D6765,"Connection*",WholeDay!E10:E6765,"&gt;="&amp;V21,WholeDay!E10:E6765,"&lt;="&amp;W21)</f>
        <v>0</v>
      </c>
      <c r="H21">
        <f ca="1">COUNTIFS(WholeDay!D20:D6765,"Account Locked",WholeDay!E20:E6765,"&gt;="&amp;V21,WholeDay!E20:E6765,"&lt;="&amp;W21)</f>
        <v>0</v>
      </c>
      <c r="I21" s="7">
        <v>0.79166666666666696</v>
      </c>
      <c r="J21">
        <f ca="1">COUNTIFS(WholeDay!D20:D6765,"Dead",WholeDay!E20:E6765,"&gt;="&amp;V21,WholeDay!E20:E6765,"&lt;="&amp;W21)</f>
        <v>0</v>
      </c>
      <c r="K21">
        <f t="shared" ca="1" si="0"/>
        <v>0</v>
      </c>
      <c r="L21">
        <f t="shared" ca="1" si="10"/>
        <v>0</v>
      </c>
      <c r="M21" s="1">
        <f t="shared" ca="1" si="11"/>
        <v>0</v>
      </c>
      <c r="N21" s="1">
        <f t="shared" ca="1" si="12"/>
        <v>0</v>
      </c>
      <c r="O21" s="12" t="s">
        <v>610</v>
      </c>
      <c r="P21" s="1">
        <f t="shared" ca="1" si="13"/>
        <v>400</v>
      </c>
      <c r="Q21" s="1">
        <f t="shared" ca="1" si="14"/>
        <v>0</v>
      </c>
      <c r="R21" s="1">
        <f t="shared" ca="1" si="15"/>
        <v>0</v>
      </c>
      <c r="S21" s="5">
        <f>TIME(19,59,59)</f>
        <v>0.83332175925925922</v>
      </c>
      <c r="T21" s="4">
        <f t="shared" ca="1" si="7"/>
        <v>43336</v>
      </c>
      <c r="U21" s="5">
        <f>TIME(19,0,58)</f>
        <v>0.79233796296296299</v>
      </c>
      <c r="V21" s="2" t="str">
        <f t="shared" ca="1" si="9"/>
        <v>24/08/2018 19:00:58</v>
      </c>
      <c r="W21" s="2" t="str">
        <f t="shared" ca="1" si="8"/>
        <v>24/08/2018 19:59:59</v>
      </c>
    </row>
    <row r="22" spans="1:23" x14ac:dyDescent="0.25">
      <c r="A22" s="1">
        <f ca="1">COUNTIFS(WholeDay!D12:D6766,"Active",WholeDay!E12:E6766,"&gt;="&amp;V22,WholeDay!E12:E6766,"&lt;="&amp;W22)</f>
        <v>0</v>
      </c>
      <c r="B22">
        <f ca="1">COUNTIFS(WholeDay!D12:D6766,"Other",WholeDay!E12:E6766,"&gt;="&amp;V22,WholeDay!E12:E6766,"&lt;="&amp;W22)</f>
        <v>0</v>
      </c>
      <c r="C22">
        <f ca="1">COUNTIFS(WholeDay!D12:D6766,"Remote*",WholeDay!E12:E6766,"&gt;="&amp;V22,WholeDay!E12:E6766,"&lt;="&amp;W22)</f>
        <v>0</v>
      </c>
      <c r="D22">
        <f ca="1">COUNTIFS(WholeDay!D12:D6766,"Logged in as D*",WholeDay!E12:E6766,"&gt;="&amp;V22,WholeDay!E12:E6766,"&lt;="&amp;W22)</f>
        <v>0</v>
      </c>
      <c r="E22">
        <f ca="1">COUNTIFS(WholeDay!D10:D6766,"Logged in as N*",WholeDay!E10:E6766,"&gt;="&amp;V22,WholeDay!E10:E6766,"&lt;="&amp;W22)</f>
        <v>0</v>
      </c>
      <c r="F22">
        <f ca="1">COUNTIFS(WholeDay!D10:D6766,"NO MATCH VM FOUND",WholeDay!E10:E6766,"&gt;="&amp;V22,WholeDay!E10:E6766,"&lt;="&amp;W22)</f>
        <v>0</v>
      </c>
      <c r="G22">
        <f ca="1">COUNTIFS(WholeDay!D11:D6766,"Connection*",WholeDay!E11:E6766,"&gt;="&amp;V22,WholeDay!E11:E6766,"&lt;="&amp;W22)</f>
        <v>0</v>
      </c>
      <c r="H22">
        <f ca="1">COUNTIFS(WholeDay!D21:D6766,"Account Locked",WholeDay!E21:E6766,"&gt;="&amp;V22,WholeDay!E21:E6766,"&lt;="&amp;W22)</f>
        <v>0</v>
      </c>
      <c r="I22" s="7">
        <v>0.83333333333333304</v>
      </c>
      <c r="J22">
        <f ca="1">COUNTIFS(WholeDay!D21:D6766,"Dead",WholeDay!E21:E6766,"&gt;="&amp;V22,WholeDay!E21:E6766,"&lt;="&amp;W22)</f>
        <v>0</v>
      </c>
      <c r="K22">
        <f t="shared" ca="1" si="0"/>
        <v>0</v>
      </c>
      <c r="L22">
        <f t="shared" ca="1" si="10"/>
        <v>0</v>
      </c>
      <c r="M22" s="1">
        <f t="shared" ca="1" si="11"/>
        <v>0</v>
      </c>
      <c r="N22" s="1">
        <f t="shared" ca="1" si="12"/>
        <v>0</v>
      </c>
      <c r="O22" s="12" t="s">
        <v>611</v>
      </c>
      <c r="P22" s="1">
        <f t="shared" ca="1" si="13"/>
        <v>400</v>
      </c>
      <c r="Q22" s="1">
        <f t="shared" ca="1" si="14"/>
        <v>0</v>
      </c>
      <c r="R22" s="1">
        <f t="shared" ca="1" si="15"/>
        <v>0</v>
      </c>
      <c r="S22" s="5">
        <f>TIME(20,59,59)</f>
        <v>0.87498842592592585</v>
      </c>
      <c r="T22" s="4">
        <f t="shared" ca="1" si="7"/>
        <v>43336</v>
      </c>
      <c r="U22" s="5">
        <f>TIME(20,0,58)</f>
        <v>0.83400462962962962</v>
      </c>
      <c r="V22" s="2" t="str">
        <f t="shared" ca="1" si="9"/>
        <v>24/08/2018 20:00:58</v>
      </c>
      <c r="W22" s="2" t="str">
        <f t="shared" ca="1" si="8"/>
        <v>24/08/2018 20:59:59</v>
      </c>
    </row>
    <row r="23" spans="1:23" x14ac:dyDescent="0.25">
      <c r="A23" s="1">
        <f ca="1">COUNTIFS(WholeDay!D13:D6767,"Active",WholeDay!E13:E6767,"&gt;="&amp;V23,WholeDay!E13:E6767,"&lt;="&amp;W23)</f>
        <v>0</v>
      </c>
      <c r="B23">
        <f ca="1">COUNTIFS(WholeDay!D13:D6767,"Other",WholeDay!E13:E6767,"&gt;="&amp;V23,WholeDay!E13:E6767,"&lt;="&amp;W23)</f>
        <v>0</v>
      </c>
      <c r="C23">
        <f ca="1">COUNTIFS(WholeDay!D13:D6767,"Remote*",WholeDay!E13:E6767,"&gt;="&amp;V23,WholeDay!E13:E6767,"&lt;="&amp;W23)</f>
        <v>0</v>
      </c>
      <c r="D23">
        <f ca="1">COUNTIFS(WholeDay!D13:D6767,"Logged in as D*",WholeDay!E13:E6767,"&gt;="&amp;V23,WholeDay!E13:E6767,"&lt;="&amp;W23)</f>
        <v>0</v>
      </c>
      <c r="E23">
        <f ca="1">COUNTIFS(WholeDay!D11:D6767,"Logged in as N*",WholeDay!E11:E6767,"&gt;="&amp;V23,WholeDay!E11:E6767,"&lt;="&amp;W23)</f>
        <v>0</v>
      </c>
      <c r="F23">
        <f ca="1">COUNTIFS(WholeDay!D11:D6767,"NO MATCH VM FOUND",WholeDay!E11:E6767,"&gt;="&amp;V23,WholeDay!E11:E6767,"&lt;="&amp;W23)</f>
        <v>0</v>
      </c>
      <c r="G23">
        <f ca="1">COUNTIFS(WholeDay!D12:D6767,"Connection*",WholeDay!E12:E6767,"&gt;="&amp;V23,WholeDay!E12:E6767,"&lt;="&amp;W23)</f>
        <v>0</v>
      </c>
      <c r="H23">
        <f ca="1">COUNTIFS(WholeDay!D22:D6767,"Account Locked",WholeDay!E22:E6767,"&gt;="&amp;V23,WholeDay!E22:E6767,"&lt;="&amp;W23)</f>
        <v>0</v>
      </c>
      <c r="I23" s="7">
        <v>0.875</v>
      </c>
      <c r="J23">
        <f ca="1">COUNTIFS(WholeDay!D22:D6767,"Dead",WholeDay!E22:E6767,"&gt;="&amp;V23,WholeDay!E22:E6767,"&lt;="&amp;W23)</f>
        <v>0</v>
      </c>
      <c r="K23">
        <f t="shared" ca="1" si="0"/>
        <v>0</v>
      </c>
      <c r="L23">
        <f t="shared" ca="1" si="10"/>
        <v>0</v>
      </c>
      <c r="M23" s="1">
        <f t="shared" ca="1" si="11"/>
        <v>0</v>
      </c>
      <c r="N23" s="1">
        <f t="shared" ca="1" si="12"/>
        <v>0</v>
      </c>
      <c r="O23" s="12" t="s">
        <v>612</v>
      </c>
      <c r="P23" s="1">
        <f t="shared" ca="1" si="13"/>
        <v>400</v>
      </c>
      <c r="Q23" s="1">
        <f t="shared" ca="1" si="14"/>
        <v>0</v>
      </c>
      <c r="R23" s="1">
        <f t="shared" ca="1" si="15"/>
        <v>0</v>
      </c>
      <c r="S23" s="5">
        <f>TIME(21,59,59)</f>
        <v>0.91665509259259259</v>
      </c>
      <c r="T23" s="4">
        <f t="shared" ca="1" si="7"/>
        <v>43336</v>
      </c>
      <c r="U23" s="5">
        <f>TIME(21,0,58)</f>
        <v>0.87567129629629636</v>
      </c>
      <c r="V23" s="2" t="str">
        <f t="shared" ca="1" si="9"/>
        <v>24/08/2018 21:00:58</v>
      </c>
      <c r="W23" s="2" t="str">
        <f t="shared" ca="1" si="8"/>
        <v>24/08/2018 21:59:59</v>
      </c>
    </row>
    <row r="24" spans="1:23" x14ac:dyDescent="0.25">
      <c r="A24" s="1">
        <f ca="1">COUNTIFS(WholeDay!D14:D6768,"Active",WholeDay!E14:E6768,"&gt;="&amp;V24,WholeDay!E14:E6768,"&lt;="&amp;W24)</f>
        <v>0</v>
      </c>
      <c r="B24">
        <f ca="1">COUNTIFS(WholeDay!D14:D6768,"Other",WholeDay!E14:E6768,"&gt;="&amp;V24,WholeDay!E14:E6768,"&lt;="&amp;W24)</f>
        <v>0</v>
      </c>
      <c r="C24">
        <f ca="1">COUNTIFS(WholeDay!D14:D6768,"Remote*",WholeDay!E14:E6768,"&gt;="&amp;V24,WholeDay!E14:E6768,"&lt;="&amp;W24)</f>
        <v>0</v>
      </c>
      <c r="D24">
        <f ca="1">COUNTIFS(WholeDay!D14:D6768,"Logged in as D*",WholeDay!E14:E6768,"&gt;="&amp;V24,WholeDay!E14:E6768,"&lt;="&amp;W24)</f>
        <v>0</v>
      </c>
      <c r="E24">
        <f ca="1">COUNTIFS(WholeDay!D12:D6768,"Logged in as N*",WholeDay!E12:E6768,"&gt;="&amp;V24,WholeDay!E12:E6768,"&lt;="&amp;W24)</f>
        <v>0</v>
      </c>
      <c r="F24">
        <f ca="1">COUNTIFS(WholeDay!D12:D6768,"NO MATCH VM FOUND",WholeDay!E12:E6768,"&gt;="&amp;V24,WholeDay!E12:E6768,"&lt;="&amp;W24)</f>
        <v>0</v>
      </c>
      <c r="G24">
        <f ca="1">COUNTIFS(WholeDay!D13:D6768,"Connection*",WholeDay!E13:E6768,"&gt;="&amp;V24,WholeDay!E13:E6768,"&lt;="&amp;W24)</f>
        <v>0</v>
      </c>
      <c r="H24">
        <f ca="1">COUNTIFS(WholeDay!D23:D6768,"Account Locked",WholeDay!E23:E6768,"&gt;="&amp;V24,WholeDay!E23:E6768,"&lt;="&amp;W24)</f>
        <v>0</v>
      </c>
      <c r="I24" s="7">
        <v>0.91666666666666696</v>
      </c>
      <c r="J24">
        <f ca="1">COUNTIFS(WholeDay!D23:D6768,"Dead",WholeDay!E23:E6768,"&gt;="&amp;V24,WholeDay!E23:E6768,"&lt;="&amp;W24)</f>
        <v>0</v>
      </c>
      <c r="K24">
        <f t="shared" ca="1" si="0"/>
        <v>0</v>
      </c>
      <c r="L24">
        <f t="shared" ca="1" si="10"/>
        <v>0</v>
      </c>
      <c r="M24" s="1">
        <f t="shared" ca="1" si="11"/>
        <v>0</v>
      </c>
      <c r="N24" s="1">
        <f t="shared" ca="1" si="12"/>
        <v>0</v>
      </c>
      <c r="O24" s="12" t="s">
        <v>613</v>
      </c>
      <c r="P24" s="1">
        <f t="shared" ca="1" si="13"/>
        <v>400</v>
      </c>
      <c r="Q24" s="1">
        <f t="shared" ca="1" si="14"/>
        <v>0</v>
      </c>
      <c r="R24" s="1">
        <f t="shared" ca="1" si="15"/>
        <v>0</v>
      </c>
      <c r="S24" s="5">
        <f>TIME(22,59,59)</f>
        <v>0.95832175925925922</v>
      </c>
      <c r="T24" s="4">
        <f t="shared" ca="1" si="7"/>
        <v>43336</v>
      </c>
      <c r="U24" s="5">
        <f>TIME(22,0,58)</f>
        <v>0.91733796296296299</v>
      </c>
      <c r="V24" s="2" t="str">
        <f t="shared" ca="1" si="9"/>
        <v>24/08/2018 22:00:58</v>
      </c>
      <c r="W24" s="2" t="str">
        <f t="shared" ca="1" si="8"/>
        <v>24/08/2018 22:59:59</v>
      </c>
    </row>
    <row r="25" spans="1:23" x14ac:dyDescent="0.25">
      <c r="A25" s="1">
        <f ca="1">COUNTIFS(WholeDay!D15:D6769,"Active",WholeDay!E15:E6769,"&gt;="&amp;V25,WholeDay!E15:E6769,"&lt;="&amp;W25)</f>
        <v>0</v>
      </c>
      <c r="B25">
        <f ca="1">COUNTIFS(WholeDay!D15:D6769,"Other",WholeDay!E15:E6769,"&gt;="&amp;V25,WholeDay!E15:E6769,"&lt;="&amp;W25)</f>
        <v>0</v>
      </c>
      <c r="C25">
        <f ca="1">COUNTIFS(WholeDay!D15:D6769,"Remote*",WholeDay!E15:E6769,"&gt;="&amp;V25,WholeDay!E15:E6769,"&lt;="&amp;W25)</f>
        <v>0</v>
      </c>
      <c r="D25">
        <f ca="1">COUNTIFS(WholeDay!D15:D6769,"Logged in as D*",WholeDay!E15:E6769,"&gt;="&amp;V25,WholeDay!E15:E6769,"&lt;="&amp;W25)</f>
        <v>0</v>
      </c>
      <c r="E25">
        <f ca="1">COUNTIFS(WholeDay!D13:D6769,"Logged in as N*",WholeDay!E13:E6769,"&gt;="&amp;V25,WholeDay!E13:E6769,"&lt;="&amp;W25)</f>
        <v>0</v>
      </c>
      <c r="F25">
        <f ca="1">COUNTIFS(WholeDay!D13:D6769,"NO MATCH VM FOUND",WholeDay!E13:E6769,"&gt;="&amp;V25,WholeDay!E13:E6769,"&lt;="&amp;W25)</f>
        <v>0</v>
      </c>
      <c r="G25">
        <f ca="1">COUNTIFS(WholeDay!D14:D6769,"Connection*",WholeDay!E14:E6769,"&gt;="&amp;V25,WholeDay!E14:E6769,"&lt;="&amp;W25)</f>
        <v>0</v>
      </c>
      <c r="H25">
        <f ca="1">COUNTIFS(WholeDay!D24:D6769,"Account Locked",WholeDay!E24:E6769,"&gt;="&amp;V25,WholeDay!E24:E6769,"&lt;="&amp;W25)</f>
        <v>0</v>
      </c>
      <c r="I25" s="7">
        <v>0.95833333333333304</v>
      </c>
      <c r="J25">
        <f ca="1">COUNTIFS(WholeDay!D24:D6769,"Dead",WholeDay!E24:E6769,"&gt;="&amp;V25,WholeDay!E24:E6769,"&lt;="&amp;W25)</f>
        <v>0</v>
      </c>
      <c r="K25">
        <f t="shared" ca="1" si="0"/>
        <v>0</v>
      </c>
      <c r="L25">
        <f t="shared" ca="1" si="10"/>
        <v>0</v>
      </c>
      <c r="M25" s="1">
        <f t="shared" ca="1" si="11"/>
        <v>0</v>
      </c>
      <c r="N25" s="1">
        <f t="shared" ca="1" si="12"/>
        <v>0</v>
      </c>
      <c r="O25" s="12" t="s">
        <v>614</v>
      </c>
      <c r="P25" s="1">
        <f t="shared" ca="1" si="13"/>
        <v>400</v>
      </c>
      <c r="Q25" s="1">
        <f t="shared" ca="1" si="14"/>
        <v>0</v>
      </c>
      <c r="R25" s="1">
        <f t="shared" ca="1" si="15"/>
        <v>0</v>
      </c>
      <c r="S25" s="5">
        <f>TIME(23,59,59)</f>
        <v>0.99998842592592585</v>
      </c>
      <c r="T25" s="4">
        <f t="shared" ca="1" si="7"/>
        <v>43336</v>
      </c>
      <c r="U25" s="5">
        <f>TIME(23,0,58)</f>
        <v>0.95900462962962962</v>
      </c>
      <c r="V25" s="2" t="str">
        <f t="shared" ca="1" si="9"/>
        <v>24/08/2018 23:00:58</v>
      </c>
      <c r="W25" s="2" t="str">
        <f t="shared" ca="1" si="8"/>
        <v>24/08/2018 23:59:59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0"/>
  <dimension ref="A1"/>
  <sheetViews>
    <sheetView tabSelected="1" workbookViewId="0">
      <selection activeCell="AB18" sqref="A1:XFD1048576"/>
    </sheetView>
  </sheetViews>
  <sheetFormatPr defaultRowHeight="15" x14ac:dyDescent="0.25"/>
  <cols>
    <col min="1" max="16384" width="9.140625" style="3"/>
  </cols>
  <sheetData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5"/>
  <dimension ref="A1:G12"/>
  <sheetViews>
    <sheetView workbookViewId="0"/>
  </sheetViews>
  <sheetFormatPr defaultRowHeight="15" x14ac:dyDescent="0.25"/>
  <cols>
    <col min="1" max="1" width="17.5703125" bestFit="1" customWidth="1"/>
    <col min="2" max="2" width="12" bestFit="1" customWidth="1"/>
    <col min="3" max="3" width="10" customWidth="1"/>
    <col min="4" max="4" width="15.85546875" customWidth="1"/>
    <col min="5" max="5" width="14.85546875" customWidth="1"/>
    <col min="6" max="6" width="15.140625" bestFit="1" customWidth="1"/>
    <col min="7" max="7" width="11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A2" t="s">
        <v>49</v>
      </c>
      <c r="B2" t="s">
        <v>6</v>
      </c>
      <c r="C2" t="s">
        <v>7</v>
      </c>
      <c r="D2" t="s">
        <v>10</v>
      </c>
      <c r="E2" s="2">
        <v>43336.404780092591</v>
      </c>
      <c r="F2" t="s">
        <v>533</v>
      </c>
      <c r="G2" t="s">
        <v>543</v>
      </c>
    </row>
    <row r="3" spans="1:7" x14ac:dyDescent="0.25">
      <c r="A3" t="s">
        <v>50</v>
      </c>
      <c r="B3" t="s">
        <v>6</v>
      </c>
      <c r="C3" t="s">
        <v>7</v>
      </c>
      <c r="D3" t="s">
        <v>10</v>
      </c>
      <c r="E3" s="2">
        <v>43336.40415509259</v>
      </c>
      <c r="F3" t="s">
        <v>533</v>
      </c>
      <c r="G3" t="s">
        <v>543</v>
      </c>
    </row>
    <row r="4" spans="1:7" x14ac:dyDescent="0.25">
      <c r="A4" t="s">
        <v>106</v>
      </c>
      <c r="B4" t="s">
        <v>6</v>
      </c>
      <c r="C4" t="s">
        <v>7</v>
      </c>
      <c r="D4" t="s">
        <v>10</v>
      </c>
      <c r="E4" s="2">
        <v>43336.403101851851</v>
      </c>
      <c r="F4" t="s">
        <v>533</v>
      </c>
      <c r="G4" t="s">
        <v>543</v>
      </c>
    </row>
    <row r="5" spans="1:7" x14ac:dyDescent="0.25">
      <c r="A5" t="s">
        <v>90</v>
      </c>
      <c r="B5" t="s">
        <v>6</v>
      </c>
      <c r="C5" t="s">
        <v>7</v>
      </c>
      <c r="D5" t="s">
        <v>10</v>
      </c>
      <c r="E5" s="2">
        <v>43336.40247685185</v>
      </c>
      <c r="F5" t="s">
        <v>533</v>
      </c>
      <c r="G5" t="s">
        <v>543</v>
      </c>
    </row>
    <row r="6" spans="1:7" x14ac:dyDescent="0.25">
      <c r="A6" t="s">
        <v>51</v>
      </c>
      <c r="B6" t="s">
        <v>6</v>
      </c>
      <c r="C6" t="s">
        <v>7</v>
      </c>
      <c r="D6" t="s">
        <v>10</v>
      </c>
      <c r="E6" s="2">
        <v>43336.40185185185</v>
      </c>
      <c r="F6" t="s">
        <v>533</v>
      </c>
      <c r="G6" t="s">
        <v>543</v>
      </c>
    </row>
    <row r="7" spans="1:7" x14ac:dyDescent="0.25">
      <c r="A7" t="s">
        <v>52</v>
      </c>
      <c r="B7" t="s">
        <v>6</v>
      </c>
      <c r="C7" t="s">
        <v>7</v>
      </c>
      <c r="D7" t="s">
        <v>10</v>
      </c>
      <c r="E7" s="2">
        <v>43336.401238425926</v>
      </c>
      <c r="F7" t="s">
        <v>533</v>
      </c>
      <c r="G7" t="s">
        <v>543</v>
      </c>
    </row>
    <row r="8" spans="1:7" x14ac:dyDescent="0.25">
      <c r="A8" t="s">
        <v>70</v>
      </c>
      <c r="B8" t="s">
        <v>6</v>
      </c>
      <c r="C8" t="s">
        <v>7</v>
      </c>
      <c r="D8" t="s">
        <v>10</v>
      </c>
      <c r="E8" s="2">
        <v>43336.400613425925</v>
      </c>
      <c r="F8" t="s">
        <v>533</v>
      </c>
      <c r="G8" t="s">
        <v>543</v>
      </c>
    </row>
    <row r="9" spans="1:7" x14ac:dyDescent="0.25">
      <c r="A9" t="s">
        <v>156</v>
      </c>
      <c r="B9" t="s">
        <v>6</v>
      </c>
      <c r="C9" t="s">
        <v>7</v>
      </c>
      <c r="D9" t="s">
        <v>476</v>
      </c>
      <c r="E9" s="2">
        <v>43336.4</v>
      </c>
      <c r="F9" t="s">
        <v>533</v>
      </c>
      <c r="G9" t="s">
        <v>543</v>
      </c>
    </row>
    <row r="10" spans="1:7" x14ac:dyDescent="0.25">
      <c r="A10" t="s">
        <v>53</v>
      </c>
      <c r="B10" t="s">
        <v>6</v>
      </c>
      <c r="C10" t="s">
        <v>7</v>
      </c>
      <c r="D10" t="s">
        <v>476</v>
      </c>
      <c r="E10" s="2">
        <v>43336.399386574078</v>
      </c>
      <c r="F10" t="s">
        <v>533</v>
      </c>
      <c r="G10" t="s">
        <v>543</v>
      </c>
    </row>
    <row r="11" spans="1:7" x14ac:dyDescent="0.25">
      <c r="A11" t="s">
        <v>61</v>
      </c>
      <c r="B11" t="s">
        <v>6</v>
      </c>
      <c r="C11" t="s">
        <v>7</v>
      </c>
      <c r="D11" t="s">
        <v>476</v>
      </c>
      <c r="E11" s="2">
        <v>43336.398784722223</v>
      </c>
      <c r="F11" t="s">
        <v>533</v>
      </c>
      <c r="G11" t="s">
        <v>543</v>
      </c>
    </row>
    <row r="12" spans="1:7" x14ac:dyDescent="0.25">
      <c r="A12" t="s">
        <v>102</v>
      </c>
      <c r="B12" t="s">
        <v>6</v>
      </c>
      <c r="C12" t="s">
        <v>7</v>
      </c>
      <c r="D12" t="s">
        <v>10</v>
      </c>
      <c r="E12" s="2">
        <v>43336.398182870369</v>
      </c>
      <c r="F12" t="s">
        <v>533</v>
      </c>
      <c r="G12" t="s">
        <v>543</v>
      </c>
    </row>
  </sheetData>
  <sortState ref="A2:G12">
    <sortCondition descending="1" ref="E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G2"/>
  <sheetViews>
    <sheetView workbookViewId="0"/>
  </sheetViews>
  <sheetFormatPr defaultRowHeight="15" x14ac:dyDescent="0.25"/>
  <cols>
    <col min="1" max="1" width="17.5703125" bestFit="1" customWidth="1"/>
    <col min="2" max="2" width="8.5703125" bestFit="1" customWidth="1"/>
    <col min="3" max="3" width="10" bestFit="1" customWidth="1"/>
    <col min="4" max="4" width="15.85546875" bestFit="1" customWidth="1"/>
    <col min="5" max="5" width="11.85546875" bestFit="1" customWidth="1"/>
    <col min="6" max="6" width="15.140625" customWidth="1"/>
    <col min="7" max="7" width="10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E2" s="2"/>
      <c r="F2" s="2"/>
      <c r="G2" s="2"/>
    </row>
  </sheetData>
  <sortState ref="A1:G1">
    <sortCondition descending="1" ref="E1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2"/>
  <dimension ref="A1:G27"/>
  <sheetViews>
    <sheetView workbookViewId="0">
      <selection activeCell="E9" sqref="E9"/>
    </sheetView>
  </sheetViews>
  <sheetFormatPr defaultRowHeight="15" x14ac:dyDescent="0.25"/>
  <cols>
    <col min="1" max="1" width="17.5703125" bestFit="1" customWidth="1"/>
    <col min="2" max="2" width="12" bestFit="1" customWidth="1"/>
    <col min="3" max="3" width="10.28515625" bestFit="1" customWidth="1"/>
    <col min="4" max="4" width="21.42578125" bestFit="1" customWidth="1"/>
    <col min="5" max="5" width="14.85546875" customWidth="1"/>
    <col min="6" max="6" width="15.140625" bestFit="1" customWidth="1"/>
    <col min="7" max="7" width="14.85546875" bestFit="1" customWidth="1"/>
    <col min="8" max="8" width="8.42578125" customWidth="1"/>
    <col min="9" max="9" width="13.7109375" customWidth="1"/>
    <col min="10" max="10" width="18.42578125" customWidth="1"/>
    <col min="11" max="11" width="8.42578125" bestFit="1" customWidth="1"/>
    <col min="12" max="12" width="13.7109375" bestFit="1" customWidth="1"/>
    <col min="13" max="13" width="18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A2" t="s">
        <v>162</v>
      </c>
      <c r="B2" t="s">
        <v>306</v>
      </c>
      <c r="C2" t="s">
        <v>306</v>
      </c>
      <c r="D2" t="s">
        <v>307</v>
      </c>
      <c r="E2" s="2">
        <v>43336.410115740742</v>
      </c>
      <c r="F2" s="2" t="s">
        <v>492</v>
      </c>
      <c r="G2" s="2" t="s">
        <v>493</v>
      </c>
    </row>
    <row r="3" spans="1:7" x14ac:dyDescent="0.25">
      <c r="A3" t="s">
        <v>218</v>
      </c>
      <c r="B3" t="s">
        <v>306</v>
      </c>
      <c r="C3" t="s">
        <v>306</v>
      </c>
      <c r="D3" t="s">
        <v>307</v>
      </c>
      <c r="E3" s="2">
        <v>43336.407314814816</v>
      </c>
      <c r="F3" s="2" t="s">
        <v>492</v>
      </c>
      <c r="G3" s="2" t="s">
        <v>493</v>
      </c>
    </row>
    <row r="4" spans="1:7" x14ac:dyDescent="0.25">
      <c r="A4" t="s">
        <v>163</v>
      </c>
      <c r="B4" t="s">
        <v>306</v>
      </c>
      <c r="C4" t="s">
        <v>306</v>
      </c>
      <c r="D4" t="s">
        <v>307</v>
      </c>
      <c r="E4" s="2">
        <v>43336.40452546296</v>
      </c>
      <c r="F4" s="2" t="s">
        <v>492</v>
      </c>
      <c r="G4" s="2" t="s">
        <v>493</v>
      </c>
    </row>
    <row r="5" spans="1:7" x14ac:dyDescent="0.25">
      <c r="A5" t="s">
        <v>168</v>
      </c>
      <c r="B5" t="s">
        <v>306</v>
      </c>
      <c r="C5" t="s">
        <v>306</v>
      </c>
      <c r="D5" t="s">
        <v>307</v>
      </c>
      <c r="E5" s="2">
        <v>43336.401736111111</v>
      </c>
      <c r="F5" s="2" t="s">
        <v>492</v>
      </c>
      <c r="G5" s="2" t="s">
        <v>500</v>
      </c>
    </row>
    <row r="6" spans="1:7" x14ac:dyDescent="0.25">
      <c r="A6" t="s">
        <v>210</v>
      </c>
      <c r="B6" t="s">
        <v>6</v>
      </c>
      <c r="C6" t="s">
        <v>7</v>
      </c>
      <c r="D6" t="s">
        <v>27</v>
      </c>
      <c r="E6" s="2">
        <v>43336.400636574072</v>
      </c>
      <c r="F6" s="2" t="s">
        <v>494</v>
      </c>
      <c r="G6" s="2" t="s">
        <v>501</v>
      </c>
    </row>
    <row r="7" spans="1:7" x14ac:dyDescent="0.25">
      <c r="A7" t="s">
        <v>156</v>
      </c>
      <c r="B7" t="s">
        <v>6</v>
      </c>
      <c r="C7" t="s">
        <v>7</v>
      </c>
      <c r="D7" t="s">
        <v>476</v>
      </c>
      <c r="E7" s="2">
        <v>43336.4</v>
      </c>
      <c r="F7" s="2" t="s">
        <v>533</v>
      </c>
      <c r="G7" s="2" t="s">
        <v>543</v>
      </c>
    </row>
    <row r="8" spans="1:7" x14ac:dyDescent="0.25">
      <c r="A8" t="s">
        <v>53</v>
      </c>
      <c r="B8" t="s">
        <v>6</v>
      </c>
      <c r="C8" t="s">
        <v>7</v>
      </c>
      <c r="D8" t="s">
        <v>476</v>
      </c>
      <c r="E8" s="2">
        <v>43336.399386574078</v>
      </c>
      <c r="F8" s="2" t="s">
        <v>533</v>
      </c>
      <c r="G8" s="2" t="s">
        <v>543</v>
      </c>
    </row>
    <row r="9" spans="1:7" x14ac:dyDescent="0.25">
      <c r="A9" t="s">
        <v>164</v>
      </c>
      <c r="B9" t="s">
        <v>306</v>
      </c>
      <c r="C9" t="s">
        <v>306</v>
      </c>
      <c r="D9" t="s">
        <v>307</v>
      </c>
      <c r="E9" s="2">
        <v>43336.398946759262</v>
      </c>
      <c r="F9" s="2" t="s">
        <v>492</v>
      </c>
      <c r="G9" s="2" t="s">
        <v>493</v>
      </c>
    </row>
    <row r="10" spans="1:7" x14ac:dyDescent="0.25">
      <c r="A10" t="s">
        <v>61</v>
      </c>
      <c r="B10" t="s">
        <v>6</v>
      </c>
      <c r="C10" t="s">
        <v>7</v>
      </c>
      <c r="D10" t="s">
        <v>476</v>
      </c>
      <c r="E10" s="2">
        <v>43336.398784722223</v>
      </c>
      <c r="F10" s="2" t="s">
        <v>533</v>
      </c>
      <c r="G10" s="2" t="s">
        <v>543</v>
      </c>
    </row>
    <row r="11" spans="1:7" x14ac:dyDescent="0.25">
      <c r="A11" t="s">
        <v>227</v>
      </c>
      <c r="B11" t="s">
        <v>306</v>
      </c>
      <c r="C11" t="s">
        <v>306</v>
      </c>
      <c r="D11" t="s">
        <v>307</v>
      </c>
      <c r="E11" s="2">
        <v>43336.396157407406</v>
      </c>
      <c r="F11" s="2" t="s">
        <v>492</v>
      </c>
      <c r="G11" s="2" t="s">
        <v>493</v>
      </c>
    </row>
    <row r="12" spans="1:7" x14ac:dyDescent="0.25">
      <c r="A12" t="s">
        <v>165</v>
      </c>
      <c r="B12" t="s">
        <v>306</v>
      </c>
      <c r="C12" t="s">
        <v>306</v>
      </c>
      <c r="D12" t="s">
        <v>307</v>
      </c>
      <c r="E12" s="2">
        <v>43336.393368055556</v>
      </c>
      <c r="F12" s="2" t="s">
        <v>492</v>
      </c>
      <c r="G12" s="2" t="s">
        <v>493</v>
      </c>
    </row>
    <row r="13" spans="1:7" x14ac:dyDescent="0.25">
      <c r="A13" t="s">
        <v>217</v>
      </c>
      <c r="B13" t="s">
        <v>6</v>
      </c>
      <c r="C13" t="s">
        <v>7</v>
      </c>
      <c r="D13" t="s">
        <v>476</v>
      </c>
      <c r="E13" s="2">
        <v>43336.392835648148</v>
      </c>
      <c r="F13" s="2" t="s">
        <v>494</v>
      </c>
      <c r="G13" s="2" t="s">
        <v>544</v>
      </c>
    </row>
    <row r="14" spans="1:7" x14ac:dyDescent="0.25">
      <c r="A14" t="s">
        <v>125</v>
      </c>
      <c r="B14" t="s">
        <v>6</v>
      </c>
      <c r="C14" t="s">
        <v>7</v>
      </c>
      <c r="D14" t="s">
        <v>476</v>
      </c>
      <c r="E14" s="2">
        <v>43336.392210648148</v>
      </c>
      <c r="F14" s="2" t="s">
        <v>494</v>
      </c>
      <c r="G14" s="2" t="s">
        <v>544</v>
      </c>
    </row>
    <row r="15" spans="1:7" x14ac:dyDescent="0.25">
      <c r="A15" t="s">
        <v>167</v>
      </c>
      <c r="B15" t="s">
        <v>306</v>
      </c>
      <c r="C15" t="s">
        <v>306</v>
      </c>
      <c r="D15" t="s">
        <v>307</v>
      </c>
      <c r="E15" s="2">
        <v>43336.3905787037</v>
      </c>
      <c r="F15" s="2" t="s">
        <v>492</v>
      </c>
      <c r="G15" s="2" t="s">
        <v>493</v>
      </c>
    </row>
    <row r="16" spans="1:7" x14ac:dyDescent="0.25">
      <c r="A16" t="s">
        <v>129</v>
      </c>
      <c r="B16" t="s">
        <v>6</v>
      </c>
      <c r="C16" t="s">
        <v>7</v>
      </c>
      <c r="D16" t="s">
        <v>476</v>
      </c>
      <c r="E16" s="2">
        <v>43336.388518518521</v>
      </c>
      <c r="F16" s="2" t="s">
        <v>494</v>
      </c>
      <c r="G16" s="2" t="s">
        <v>544</v>
      </c>
    </row>
    <row r="17" spans="1:7" x14ac:dyDescent="0.25">
      <c r="A17" t="s">
        <v>255</v>
      </c>
      <c r="B17" t="s">
        <v>6</v>
      </c>
      <c r="C17" t="s">
        <v>7</v>
      </c>
      <c r="D17" t="s">
        <v>476</v>
      </c>
      <c r="E17" s="2">
        <v>43336.38758101852</v>
      </c>
      <c r="F17" s="2" t="s">
        <v>494</v>
      </c>
      <c r="G17" s="2" t="s">
        <v>583</v>
      </c>
    </row>
    <row r="18" spans="1:7" x14ac:dyDescent="0.25">
      <c r="A18" t="s">
        <v>184</v>
      </c>
      <c r="B18" t="s">
        <v>6</v>
      </c>
      <c r="C18" t="s">
        <v>7</v>
      </c>
      <c r="D18" t="s">
        <v>476</v>
      </c>
      <c r="E18" s="2">
        <v>43336.387152777781</v>
      </c>
      <c r="F18" s="2" t="s">
        <v>494</v>
      </c>
      <c r="G18" s="2" t="s">
        <v>544</v>
      </c>
    </row>
    <row r="19" spans="1:7" x14ac:dyDescent="0.25">
      <c r="A19" t="s">
        <v>223</v>
      </c>
      <c r="B19" t="s">
        <v>306</v>
      </c>
      <c r="C19" t="s">
        <v>306</v>
      </c>
      <c r="D19" t="s">
        <v>307</v>
      </c>
      <c r="E19" s="2">
        <v>43336.386365740742</v>
      </c>
      <c r="F19" s="2" t="s">
        <v>509</v>
      </c>
      <c r="G19" s="2" t="s">
        <v>510</v>
      </c>
    </row>
    <row r="20" spans="1:7" x14ac:dyDescent="0.25">
      <c r="A20" t="s">
        <v>253</v>
      </c>
      <c r="B20" t="s">
        <v>6</v>
      </c>
      <c r="C20" t="s">
        <v>7</v>
      </c>
      <c r="D20" t="s">
        <v>476</v>
      </c>
      <c r="E20" s="2">
        <v>43336.386331018519</v>
      </c>
      <c r="F20" s="2" t="s">
        <v>494</v>
      </c>
      <c r="G20" s="2" t="s">
        <v>583</v>
      </c>
    </row>
    <row r="21" spans="1:7" x14ac:dyDescent="0.25">
      <c r="A21" t="s">
        <v>252</v>
      </c>
      <c r="B21" t="s">
        <v>6</v>
      </c>
      <c r="C21" t="s">
        <v>7</v>
      </c>
      <c r="D21" t="s">
        <v>476</v>
      </c>
      <c r="E21" s="2">
        <v>43336.385717592595</v>
      </c>
      <c r="F21" s="2" t="s">
        <v>494</v>
      </c>
      <c r="G21" s="2" t="s">
        <v>583</v>
      </c>
    </row>
    <row r="22" spans="1:7" x14ac:dyDescent="0.25">
      <c r="A22" t="s">
        <v>251</v>
      </c>
      <c r="B22" t="s">
        <v>6</v>
      </c>
      <c r="C22" t="s">
        <v>7</v>
      </c>
      <c r="D22" t="s">
        <v>476</v>
      </c>
      <c r="E22" s="2">
        <v>43336.385104166664</v>
      </c>
      <c r="F22" s="2" t="s">
        <v>494</v>
      </c>
      <c r="G22" s="2" t="s">
        <v>583</v>
      </c>
    </row>
    <row r="23" spans="1:7" x14ac:dyDescent="0.25">
      <c r="A23" t="s">
        <v>249</v>
      </c>
      <c r="B23" t="s">
        <v>6</v>
      </c>
      <c r="C23" t="s">
        <v>7</v>
      </c>
      <c r="D23" t="s">
        <v>476</v>
      </c>
      <c r="E23" s="2">
        <v>43336.383877314816</v>
      </c>
      <c r="F23" s="2" t="s">
        <v>494</v>
      </c>
      <c r="G23" s="2" t="s">
        <v>583</v>
      </c>
    </row>
    <row r="24" spans="1:7" x14ac:dyDescent="0.25">
      <c r="A24" t="s">
        <v>229</v>
      </c>
      <c r="B24" t="s">
        <v>306</v>
      </c>
      <c r="C24" t="s">
        <v>306</v>
      </c>
      <c r="D24" t="s">
        <v>307</v>
      </c>
      <c r="E24" s="2">
        <v>43336.382164351853</v>
      </c>
      <c r="F24" s="2" t="s">
        <v>492</v>
      </c>
      <c r="G24" s="2" t="s">
        <v>493</v>
      </c>
    </row>
    <row r="25" spans="1:7" x14ac:dyDescent="0.25">
      <c r="A25" t="s">
        <v>270</v>
      </c>
      <c r="B25" t="s">
        <v>6</v>
      </c>
      <c r="C25" t="s">
        <v>7</v>
      </c>
      <c r="D25" t="s">
        <v>27</v>
      </c>
      <c r="E25" s="2">
        <v>43336.380972222221</v>
      </c>
      <c r="F25" s="2" t="s">
        <v>498</v>
      </c>
      <c r="G25" s="2" t="s">
        <v>498</v>
      </c>
    </row>
    <row r="26" spans="1:7" x14ac:dyDescent="0.25">
      <c r="A26" t="s">
        <v>290</v>
      </c>
      <c r="B26" t="s">
        <v>6</v>
      </c>
      <c r="C26" t="s">
        <v>7</v>
      </c>
      <c r="D26" t="s">
        <v>476</v>
      </c>
      <c r="E26" s="2">
        <v>43336.380810185183</v>
      </c>
      <c r="F26" s="2" t="s">
        <v>494</v>
      </c>
      <c r="G26" s="2" t="s">
        <v>501</v>
      </c>
    </row>
    <row r="27" spans="1:7" x14ac:dyDescent="0.25">
      <c r="A27" t="s">
        <v>150</v>
      </c>
      <c r="B27" t="s">
        <v>6</v>
      </c>
      <c r="C27" t="s">
        <v>7</v>
      </c>
      <c r="D27" t="s">
        <v>476</v>
      </c>
      <c r="E27" s="2">
        <v>43336.379537037035</v>
      </c>
      <c r="F27" s="2" t="s">
        <v>545</v>
      </c>
      <c r="G27" s="2" t="s">
        <v>497</v>
      </c>
    </row>
  </sheetData>
  <sortState ref="A2:G27">
    <sortCondition descending="1" ref="E1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WholeDay</vt:lpstr>
      <vt:lpstr>LatestMachineStatus</vt:lpstr>
      <vt:lpstr>WholeDayResults</vt:lpstr>
      <vt:lpstr>StackReport</vt:lpstr>
      <vt:lpstr>NBNPlus</vt:lpstr>
      <vt:lpstr>HealthCheckMachines</vt:lpstr>
      <vt:lpstr>FailedMachines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Goedhart, Nicholas</dc:creator>
  <cp:lastModifiedBy>Hillier, Nigel</cp:lastModifiedBy>
  <dcterms:created xsi:type="dcterms:W3CDTF">2018-04-18T07:13:16Z</dcterms:created>
  <dcterms:modified xsi:type="dcterms:W3CDTF">2018-08-24T00:21:54Z</dcterms:modified>
</cp:coreProperties>
</file>